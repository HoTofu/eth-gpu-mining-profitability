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AF9B636E-6276-4498-917D-9DFCE7F70BC7}" xr6:coauthVersionLast="47" xr6:coauthVersionMax="47" xr10:uidLastSave="{00000000-0000-0000-0000-000000000000}"/>
  <bookViews>
    <workbookView xWindow="-120" yWindow="-120" windowWidth="38640" windowHeight="21240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4" i="9" l="1"/>
  <c r="C9" i="3"/>
  <c r="L4" i="3"/>
  <c r="F34" i="9"/>
  <c r="E13" i="7"/>
  <c r="D13" i="7"/>
  <c r="C13" i="7"/>
  <c r="H5" i="3"/>
  <c r="H4" i="3"/>
  <c r="D4" i="3"/>
  <c r="L4" i="7"/>
  <c r="H5" i="7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C11" i="7" s="1"/>
  <c r="R9" i="7"/>
  <c r="R14" i="7" s="1"/>
  <c r="Q9" i="7"/>
  <c r="P9" i="7"/>
  <c r="P14" i="7" s="1"/>
  <c r="O9" i="7"/>
  <c r="N9" i="7"/>
  <c r="M9" i="7"/>
  <c r="L9" i="7"/>
  <c r="K9" i="7"/>
  <c r="J9" i="7"/>
  <c r="I9" i="7"/>
  <c r="H9" i="7"/>
  <c r="G9" i="7"/>
  <c r="F9" i="7"/>
  <c r="F14" i="7" s="1"/>
  <c r="E9" i="7"/>
  <c r="D9" i="7"/>
  <c r="D14" i="7" s="1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37" i="3"/>
  <c r="C29" i="3"/>
  <c r="J6" i="5"/>
  <c r="I2" i="5"/>
  <c r="I3" i="5"/>
  <c r="E4" i="1"/>
  <c r="F4" i="1" s="1"/>
  <c r="E3" i="1"/>
  <c r="E2" i="1"/>
  <c r="F2" i="1" s="1"/>
  <c r="C36" i="9" l="1"/>
  <c r="L5" i="7"/>
  <c r="P4" i="7" s="1"/>
  <c r="C8" i="7" s="1"/>
  <c r="L5" i="3"/>
  <c r="P4" i="3" s="1"/>
  <c r="C8" i="3" s="1"/>
  <c r="J14" i="7"/>
  <c r="K14" i="7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E14" i="7"/>
  <c r="N11" i="7"/>
  <c r="G11" i="7"/>
  <c r="D14" i="3"/>
  <c r="O14" i="3"/>
  <c r="P14" i="3"/>
  <c r="Q14" i="3"/>
  <c r="E14" i="3"/>
  <c r="N14" i="3"/>
  <c r="F14" i="3"/>
  <c r="M14" i="3"/>
  <c r="J14" i="3"/>
  <c r="K14" i="3"/>
  <c r="L14" i="3"/>
  <c r="G14" i="3"/>
  <c r="H14" i="3"/>
  <c r="I14" i="3"/>
  <c r="C14" i="3"/>
  <c r="F3" i="1"/>
  <c r="F5" i="1"/>
  <c r="Q11" i="3" s="1"/>
  <c r="C18" i="7" l="1"/>
  <c r="C20" i="7" s="1"/>
  <c r="C21" i="7" s="1"/>
  <c r="C23" i="7" s="1"/>
  <c r="D8" i="3"/>
  <c r="Q8" i="7"/>
  <c r="R8" i="7"/>
  <c r="R34" i="7" s="1"/>
  <c r="R35" i="7" s="1"/>
  <c r="R37" i="7" s="1"/>
  <c r="K8" i="7"/>
  <c r="K12" i="7" s="1"/>
  <c r="K16" i="7" s="1"/>
  <c r="N8" i="7"/>
  <c r="L8" i="7"/>
  <c r="L27" i="7" s="1"/>
  <c r="L28" i="7" s="1"/>
  <c r="L30" i="7" s="1"/>
  <c r="C21" i="3"/>
  <c r="G8" i="3"/>
  <c r="G39" i="3" s="1"/>
  <c r="D12" i="3"/>
  <c r="D16" i="3" s="1"/>
  <c r="K8" i="3"/>
  <c r="K31" i="3" s="1"/>
  <c r="N8" i="3"/>
  <c r="N31" i="3" s="1"/>
  <c r="Q8" i="3"/>
  <c r="L8" i="3"/>
  <c r="L39" i="3" s="1"/>
  <c r="O8" i="3"/>
  <c r="O39" i="3" s="1"/>
  <c r="C39" i="3"/>
  <c r="J8" i="7"/>
  <c r="J20" i="7" s="1"/>
  <c r="J21" i="7" s="1"/>
  <c r="J23" i="7" s="1"/>
  <c r="M8" i="7"/>
  <c r="E8" i="7"/>
  <c r="E12" i="7" s="1"/>
  <c r="E16" i="7" s="1"/>
  <c r="D8" i="7"/>
  <c r="D34" i="7" s="1"/>
  <c r="D35" i="7" s="1"/>
  <c r="D37" i="7" s="1"/>
  <c r="I8" i="7"/>
  <c r="I12" i="7" s="1"/>
  <c r="I16" i="7" s="1"/>
  <c r="P8" i="7"/>
  <c r="P12" i="7" s="1"/>
  <c r="P16" i="7" s="1"/>
  <c r="G8" i="7"/>
  <c r="G20" i="7" s="1"/>
  <c r="G21" i="7" s="1"/>
  <c r="G23" i="7" s="1"/>
  <c r="F8" i="7"/>
  <c r="F34" i="7" s="1"/>
  <c r="F35" i="7" s="1"/>
  <c r="F37" i="7" s="1"/>
  <c r="M8" i="3"/>
  <c r="R8" i="3"/>
  <c r="I8" i="3"/>
  <c r="I39" i="3" s="1"/>
  <c r="J8" i="3"/>
  <c r="H8" i="7"/>
  <c r="H27" i="7" s="1"/>
  <c r="H28" i="7" s="1"/>
  <c r="H30" i="7" s="1"/>
  <c r="O8" i="7"/>
  <c r="O12" i="7" s="1"/>
  <c r="O16" i="7" s="1"/>
  <c r="F8" i="3"/>
  <c r="H8" i="3"/>
  <c r="H31" i="3" s="1"/>
  <c r="E8" i="3"/>
  <c r="P8" i="3"/>
  <c r="P31" i="3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C34" i="7"/>
  <c r="C35" i="7" s="1"/>
  <c r="C37" i="7" s="1"/>
  <c r="C12" i="7"/>
  <c r="C16" i="7" s="1"/>
  <c r="C27" i="7"/>
  <c r="C28" i="7" s="1"/>
  <c r="C30" i="7" s="1"/>
  <c r="R20" i="7"/>
  <c r="R21" i="7" s="1"/>
  <c r="R23" i="7" s="1"/>
  <c r="R12" i="7"/>
  <c r="R16" i="7" s="1"/>
  <c r="K34" i="7"/>
  <c r="K35" i="7" s="1"/>
  <c r="K37" i="7" s="1"/>
  <c r="K27" i="7"/>
  <c r="K28" i="7" s="1"/>
  <c r="K30" i="7" s="1"/>
  <c r="P11" i="3"/>
  <c r="H11" i="3"/>
  <c r="K11" i="3"/>
  <c r="N11" i="3"/>
  <c r="J11" i="3"/>
  <c r="M11" i="3"/>
  <c r="E11" i="3"/>
  <c r="C11" i="3"/>
  <c r="O11" i="3"/>
  <c r="I11" i="3"/>
  <c r="G11" i="3"/>
  <c r="R11" i="3"/>
  <c r="F11" i="3"/>
  <c r="L11" i="3"/>
  <c r="M20" i="7" l="1"/>
  <c r="M21" i="7" s="1"/>
  <c r="M23" i="7" s="1"/>
  <c r="N20" i="7"/>
  <c r="N21" i="7" s="1"/>
  <c r="N23" i="7" s="1"/>
  <c r="N34" i="7"/>
  <c r="N35" i="7" s="1"/>
  <c r="N37" i="7" s="1"/>
  <c r="N12" i="7"/>
  <c r="N16" i="7" s="1"/>
  <c r="N27" i="7"/>
  <c r="N28" i="7" s="1"/>
  <c r="N30" i="7" s="1"/>
  <c r="K20" i="7"/>
  <c r="K21" i="7" s="1"/>
  <c r="K23" i="7" s="1"/>
  <c r="L12" i="7"/>
  <c r="L16" i="7" s="1"/>
  <c r="L34" i="7"/>
  <c r="L35" i="7" s="1"/>
  <c r="L37" i="7" s="1"/>
  <c r="R27" i="7"/>
  <c r="R28" i="7" s="1"/>
  <c r="R30" i="7" s="1"/>
  <c r="G12" i="3"/>
  <c r="G16" i="3" s="1"/>
  <c r="I34" i="7"/>
  <c r="I35" i="7" s="1"/>
  <c r="I37" i="7" s="1"/>
  <c r="G34" i="7"/>
  <c r="G35" i="7" s="1"/>
  <c r="G37" i="7" s="1"/>
  <c r="G27" i="7"/>
  <c r="G28" i="7" s="1"/>
  <c r="G30" i="7" s="1"/>
  <c r="G12" i="7"/>
  <c r="G16" i="7" s="1"/>
  <c r="Q23" i="3"/>
  <c r="Q24" i="3" s="1"/>
  <c r="L20" i="7"/>
  <c r="L21" i="7" s="1"/>
  <c r="L23" i="7" s="1"/>
  <c r="K12" i="3"/>
  <c r="E23" i="3"/>
  <c r="R23" i="3"/>
  <c r="R24" i="3" s="1"/>
  <c r="R26" i="3" s="1"/>
  <c r="M23" i="3"/>
  <c r="M24" i="3" s="1"/>
  <c r="M25" i="3" s="1"/>
  <c r="K39" i="3"/>
  <c r="K40" i="3" s="1"/>
  <c r="K42" i="3" s="1"/>
  <c r="F23" i="3"/>
  <c r="F24" i="3" s="1"/>
  <c r="F25" i="3" s="1"/>
  <c r="I27" i="7"/>
  <c r="I28" i="7" s="1"/>
  <c r="I30" i="7" s="1"/>
  <c r="K23" i="3"/>
  <c r="K24" i="3" s="1"/>
  <c r="D12" i="7"/>
  <c r="D16" i="7" s="1"/>
  <c r="J23" i="3"/>
  <c r="J24" i="3" s="1"/>
  <c r="D20" i="7"/>
  <c r="D21" i="7" s="1"/>
  <c r="D23" i="7" s="1"/>
  <c r="D27" i="7"/>
  <c r="D28" i="7" s="1"/>
  <c r="D30" i="7" s="1"/>
  <c r="G23" i="3"/>
  <c r="G24" i="3" s="1"/>
  <c r="G26" i="3" s="1"/>
  <c r="G31" i="3"/>
  <c r="O23" i="3"/>
  <c r="O24" i="3" s="1"/>
  <c r="Q31" i="3"/>
  <c r="Q32" i="3" s="1"/>
  <c r="N23" i="3"/>
  <c r="N24" i="3" s="1"/>
  <c r="D39" i="3"/>
  <c r="D40" i="3" s="1"/>
  <c r="D42" i="3" s="1"/>
  <c r="M12" i="7"/>
  <c r="M16" i="7" s="1"/>
  <c r="C23" i="3"/>
  <c r="C24" i="3" s="1"/>
  <c r="C26" i="3" s="1"/>
  <c r="O31" i="3"/>
  <c r="O32" i="3" s="1"/>
  <c r="O34" i="3" s="1"/>
  <c r="D31" i="3"/>
  <c r="D32" i="3" s="1"/>
  <c r="D34" i="3" s="1"/>
  <c r="C31" i="3"/>
  <c r="C32" i="3" s="1"/>
  <c r="C34" i="3" s="1"/>
  <c r="D23" i="3"/>
  <c r="D24" i="3" s="1"/>
  <c r="D26" i="3" s="1"/>
  <c r="N39" i="3"/>
  <c r="N40" i="3" s="1"/>
  <c r="I20" i="7"/>
  <c r="I21" i="7" s="1"/>
  <c r="I23" i="7" s="1"/>
  <c r="M34" i="7"/>
  <c r="M35" i="7" s="1"/>
  <c r="M37" i="7" s="1"/>
  <c r="M27" i="7"/>
  <c r="M28" i="7" s="1"/>
  <c r="M30" i="7" s="1"/>
  <c r="E27" i="7"/>
  <c r="E28" i="7" s="1"/>
  <c r="E30" i="7" s="1"/>
  <c r="H23" i="3"/>
  <c r="H24" i="3" s="1"/>
  <c r="H39" i="3"/>
  <c r="H40" i="3" s="1"/>
  <c r="H42" i="3" s="1"/>
  <c r="R31" i="3"/>
  <c r="R32" i="3" s="1"/>
  <c r="R34" i="3" s="1"/>
  <c r="H12" i="7"/>
  <c r="H16" i="7" s="1"/>
  <c r="H20" i="7"/>
  <c r="H21" i="7" s="1"/>
  <c r="H23" i="7" s="1"/>
  <c r="L31" i="3"/>
  <c r="L32" i="3" s="1"/>
  <c r="E34" i="7"/>
  <c r="E35" i="7" s="1"/>
  <c r="E37" i="7" s="1"/>
  <c r="J34" i="7"/>
  <c r="J35" i="7" s="1"/>
  <c r="J37" i="7" s="1"/>
  <c r="Q39" i="3"/>
  <c r="Q40" i="3" s="1"/>
  <c r="Q42" i="3" s="1"/>
  <c r="L23" i="3"/>
  <c r="L24" i="3" s="1"/>
  <c r="J27" i="7"/>
  <c r="J28" i="7" s="1"/>
  <c r="J30" i="7" s="1"/>
  <c r="H34" i="7"/>
  <c r="H35" i="7" s="1"/>
  <c r="H37" i="7" s="1"/>
  <c r="E20" i="7"/>
  <c r="E21" i="7" s="1"/>
  <c r="E23" i="7" s="1"/>
  <c r="J12" i="7"/>
  <c r="J16" i="7" s="1"/>
  <c r="L12" i="3"/>
  <c r="L16" i="3" s="1"/>
  <c r="P20" i="7"/>
  <c r="P21" i="7" s="1"/>
  <c r="P23" i="7" s="1"/>
  <c r="P34" i="7"/>
  <c r="P35" i="7" s="1"/>
  <c r="P37" i="7" s="1"/>
  <c r="P27" i="7"/>
  <c r="P28" i="7" s="1"/>
  <c r="P30" i="7" s="1"/>
  <c r="R39" i="3"/>
  <c r="R40" i="3" s="1"/>
  <c r="R42" i="3" s="1"/>
  <c r="M31" i="3"/>
  <c r="M32" i="3" s="1"/>
  <c r="M34" i="3" s="1"/>
  <c r="I23" i="3"/>
  <c r="I24" i="3" s="1"/>
  <c r="M39" i="3"/>
  <c r="M40" i="3" s="1"/>
  <c r="M42" i="3" s="1"/>
  <c r="J39" i="3"/>
  <c r="J40" i="3" s="1"/>
  <c r="N32" i="3"/>
  <c r="N34" i="3" s="1"/>
  <c r="J31" i="3"/>
  <c r="J32" i="3" s="1"/>
  <c r="J34" i="3" s="1"/>
  <c r="F12" i="7"/>
  <c r="F16" i="7" s="1"/>
  <c r="F20" i="7"/>
  <c r="F21" i="7" s="1"/>
  <c r="F23" i="7" s="1"/>
  <c r="F27" i="7"/>
  <c r="F28" i="7" s="1"/>
  <c r="F30" i="7" s="1"/>
  <c r="D15" i="3"/>
  <c r="J12" i="3"/>
  <c r="J16" i="3" s="1"/>
  <c r="F31" i="3"/>
  <c r="F32" i="3" s="1"/>
  <c r="F34" i="3" s="1"/>
  <c r="F39" i="3"/>
  <c r="F40" i="3" s="1"/>
  <c r="F42" i="3" s="1"/>
  <c r="H12" i="3"/>
  <c r="H16" i="3" s="1"/>
  <c r="O20" i="7"/>
  <c r="O21" i="7" s="1"/>
  <c r="O23" i="7" s="1"/>
  <c r="E39" i="3"/>
  <c r="E40" i="3" s="1"/>
  <c r="E42" i="3" s="1"/>
  <c r="O27" i="7"/>
  <c r="O28" i="7" s="1"/>
  <c r="O30" i="7" s="1"/>
  <c r="P39" i="3"/>
  <c r="P40" i="3" s="1"/>
  <c r="E31" i="3"/>
  <c r="E32" i="3" s="1"/>
  <c r="E34" i="3" s="1"/>
  <c r="P23" i="3"/>
  <c r="P24" i="3" s="1"/>
  <c r="O34" i="7"/>
  <c r="O35" i="7" s="1"/>
  <c r="O37" i="7" s="1"/>
  <c r="I31" i="3"/>
  <c r="I32" i="3" s="1"/>
  <c r="I34" i="3" s="1"/>
  <c r="I40" i="3"/>
  <c r="I42" i="3" s="1"/>
  <c r="C36" i="7"/>
  <c r="R36" i="7"/>
  <c r="H29" i="7"/>
  <c r="Q15" i="7"/>
  <c r="C15" i="7"/>
  <c r="N36" i="7"/>
  <c r="P15" i="7"/>
  <c r="N15" i="7"/>
  <c r="I15" i="7"/>
  <c r="Q22" i="7"/>
  <c r="O15" i="7"/>
  <c r="Q36" i="7"/>
  <c r="J22" i="7"/>
  <c r="Q29" i="7"/>
  <c r="K22" i="7"/>
  <c r="K29" i="7"/>
  <c r="M22" i="7"/>
  <c r="E15" i="7"/>
  <c r="L15" i="7"/>
  <c r="C29" i="7"/>
  <c r="R15" i="7"/>
  <c r="R22" i="7"/>
  <c r="F36" i="7"/>
  <c r="N29" i="7"/>
  <c r="K36" i="7"/>
  <c r="C22" i="7"/>
  <c r="N22" i="7"/>
  <c r="K15" i="7"/>
  <c r="D36" i="7"/>
  <c r="G22" i="7"/>
  <c r="L29" i="7"/>
  <c r="G32" i="3"/>
  <c r="G40" i="3"/>
  <c r="G42" i="3" s="1"/>
  <c r="R12" i="3"/>
  <c r="R16" i="3" s="1"/>
  <c r="P32" i="3"/>
  <c r="P34" i="3" s="1"/>
  <c r="Q12" i="3"/>
  <c r="Q16" i="3" s="1"/>
  <c r="P12" i="3"/>
  <c r="P16" i="3" s="1"/>
  <c r="N12" i="3"/>
  <c r="N16" i="3" s="1"/>
  <c r="O40" i="3"/>
  <c r="O42" i="3" s="1"/>
  <c r="H32" i="3"/>
  <c r="H34" i="3" s="1"/>
  <c r="I12" i="3"/>
  <c r="M12" i="3"/>
  <c r="L40" i="3"/>
  <c r="F12" i="3"/>
  <c r="O12" i="3"/>
  <c r="O16" i="3" s="1"/>
  <c r="K32" i="3"/>
  <c r="C12" i="3"/>
  <c r="C16" i="3" s="1"/>
  <c r="C40" i="3"/>
  <c r="C42" i="3" s="1"/>
  <c r="E12" i="3"/>
  <c r="E16" i="3" s="1"/>
  <c r="E24" i="3"/>
  <c r="E26" i="3" s="1"/>
  <c r="L36" i="7" l="1"/>
  <c r="K16" i="3"/>
  <c r="K15" i="3"/>
  <c r="G29" i="7"/>
  <c r="I36" i="7"/>
  <c r="R29" i="7"/>
  <c r="G15" i="3"/>
  <c r="G36" i="7"/>
  <c r="G15" i="7"/>
  <c r="L22" i="7"/>
  <c r="D29" i="7"/>
  <c r="D22" i="7"/>
  <c r="E29" i="7"/>
  <c r="M15" i="7"/>
  <c r="I29" i="7"/>
  <c r="J29" i="7"/>
  <c r="D15" i="7"/>
  <c r="E22" i="7"/>
  <c r="D41" i="3"/>
  <c r="D25" i="3"/>
  <c r="H22" i="7"/>
  <c r="M36" i="7"/>
  <c r="I22" i="7"/>
  <c r="E36" i="7"/>
  <c r="H15" i="7"/>
  <c r="J15" i="7"/>
  <c r="M29" i="7"/>
  <c r="D33" i="3"/>
  <c r="F29" i="7"/>
  <c r="P36" i="7"/>
  <c r="P22" i="7"/>
  <c r="P29" i="7"/>
  <c r="F22" i="7"/>
  <c r="J36" i="7"/>
  <c r="I41" i="3"/>
  <c r="L15" i="3"/>
  <c r="H36" i="7"/>
  <c r="O22" i="7"/>
  <c r="J15" i="3"/>
  <c r="H15" i="3"/>
  <c r="N33" i="3"/>
  <c r="O29" i="7"/>
  <c r="M26" i="3"/>
  <c r="F15" i="7"/>
  <c r="R41" i="3"/>
  <c r="O36" i="7"/>
  <c r="F26" i="3"/>
  <c r="G25" i="3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<sst xmlns="http://schemas.openxmlformats.org/spreadsheetml/2006/main" count="2296" uniqueCount="120">
  <si>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</si>
  <si>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</si>
  <si>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</si>
  <si>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</si>
  <si>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</si>
  <si>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</si>
  <si>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</si>
  <si>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</si>
  <si>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</si>
  <si>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</si>
  <si>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</si>
  <si>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</si>
  <si>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</si>
  <si>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</si>
  <si>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</si>
  <si>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</si>
  <si>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</si>
  <si>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</si>
  <si>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</si>
  <si>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</si>
  <si>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</si>
  <si>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</si>
  <si>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</si>
  <si>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</si>
  <si>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</si>
  <si>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</si>
  <si>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</si>
  <si>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</si>
  <si>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</si>
  <si>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</si>
  <si>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</si>
  <si>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</si>
  <si>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</si>
  <si>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</si>
  <si>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</si>
  <si>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</si>
  <si>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</si>
  <si>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</si>
  <si>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</si>
  <si>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</si>
  <si>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</si>
  <si>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</si>
  <si>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</si>
  <si>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</si>
  <si>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</si>
  <si>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</si>
  <si>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</si>
  <si>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</si>
  <si>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</si>
  <si>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</si>
  <si>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</si>
  <si>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</si>
  <si>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</si>
  <si>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</si>
  <si>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</si>
  <si>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</si>
  <si>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</si>
  <si>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</si>
  <si>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</si>
  <si>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</si>
  <si>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</si>
  <si>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</si>
  <si>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</si>
  <si>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</si>
  <si>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</si>
  <si>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</si>
  <si>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</si>
  <si>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</si>
  <si>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</si>
  <si>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</si>
  <si>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</si>
  <si>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</si>
  <si>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</si>
  <si>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</si>
  <si>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</si>
  <si>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</si>
  <si>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</si>
  <si>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</si>
  <si>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</si>
  <si>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</si>
  <si>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</si>
  <si>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</si>
  <si>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</si>
  <si>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</si>
  <si>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</si>
  <si>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</si>
  <si>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</si>
  <si>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</si>
  <si>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</si>
  <si>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</si>
  <si>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</si>
  <si>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</si>
  <si>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</si>
  <si>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</si>
  <si>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</si>
  <si>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</si>
  <si>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</si>
  <si>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</si>
  <si>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</si>
  <si>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</si>
  <si>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</si>
  <si>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</si>
  <si>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</si>
  <si>
    <t>3060 Ti LHR</t>
  </si>
  <si>
    <t>3070 LHR</t>
  </si>
  <si>
    <t>3080 LHR</t>
  </si>
  <si>
    <t>3080 Ti</t>
  </si>
  <si>
    <t>3070 Ti</t>
  </si>
  <si>
    <t>Remaining</t>
  </si>
  <si>
    <t>Electricity for Jul 16 - Aug 16</t>
  </si>
  <si>
    <t>Electricity for Jun 16 - Jul 16</t>
  </si>
  <si>
    <t>Daily Block Reward</t>
  </si>
  <si>
    <t>Daily Reward</t>
  </si>
  <si>
    <t>Daily Blocks</t>
  </si>
  <si>
    <t>Daily blocks</t>
  </si>
  <si>
    <t>ETH Price (CAD)</t>
  </si>
  <si>
    <t>Gigabyte Nvidia GeForce GTX 1080 8GB</t>
  </si>
  <si>
    <t>Mining Frame</t>
  </si>
  <si>
    <t>MSI Nvidia GeForce RTX 3060 Ti</t>
  </si>
  <si>
    <t>PCI-E Splitter Card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</si>
</sst>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%"/>
    <numFmt numFmtId="165" formatCode="0.000"/>
    <numFmt numFmtId="166" formatCode="0.0"/>
    <numFmt numFmtId="167" formatCode="mmm\ d\,\ yyyy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64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6" fontId="0" fillId="5" borderId="18" xfId="0" applyNumberFormat="1" applyFill="1" applyBorder="1" applyAlignment="1">
      <alignment horizontal="center"/>
    </xf>
    <xf numFmtId="166" fontId="0" fillId="5" borderId="19" xfId="0" applyNumberFormat="1" applyFill="1" applyBorder="1" applyAlignment="1">
      <alignment horizontal="center"/>
    </xf>
    <xf numFmtId="166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6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0" fontId="15" fillId="2" borderId="37" xfId="0" applyFont="1" applyFill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5" borderId="38" xfId="0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5" fontId="0" fillId="0" borderId="0" xfId="0" applyNumberFormat="1" applyBorder="1"/>
    <xf numFmtId="0" fontId="0" fillId="0" borderId="0" xfId="0" applyBorder="1"/>
    <xf numFmtId="44" fontId="0" fillId="0" borderId="0" xfId="6" applyFon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2" fontId="0" fillId="0" borderId="12" xfId="0" applyNumberFormat="1" applyFill="1" applyBorder="1" applyAlignment="1">
      <alignment horizontal="center" vertical="center"/>
    </xf>
    <xf numFmtId="2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2" borderId="24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W19"/>
  <sheetViews>
    <sheetView tabSelected="1" zoomScaleNormal="100" workbookViewId="0">
      <selection activeCell="M5" sqref="M5"/>
    </sheetView>
  </sheetViews>
  <sheetFormatPr defaultColWidth="9.140625" defaultRowHeight="15" zeroHeight="1" x14ac:dyDescent="0.25"/>
  <cols>
    <col min="1" max="1" width="17.42578125" bestFit="1" customWidth="1"/>
    <col min="2" max="13" width="7.85546875" customWidth="1"/>
    <col min="14" max="14" width="7.85546875" style="6" customWidth="1"/>
    <col min="15" max="15" width="8" bestFit="1" customWidth="1"/>
    <col min="16" max="16" width="12.140625" style="6" bestFit="1" customWidth="1"/>
    <col min="17" max="17" width="6.140625" bestFit="1" customWidth="1"/>
    <col min="18" max="18" width="9.85546875" style="6" bestFit="1" customWidth="1"/>
    <col min="19" max="19" width="7.85546875" style="6" customWidth="1"/>
    <col min="20" max="20" width="5.5703125" bestFit="1" customWidth="1"/>
    <col min="21" max="21" width="9.85546875" style="6" bestFit="1" customWidth="1"/>
    <col min="22" max="22" width="7.85546875" style="6" customWidth="1"/>
    <col min="23" max="23" width="5.5703125" bestFit="1" customWidth="1"/>
  </cols>
  <sheetData>
    <row r="1" spans="1:23" s="6" customFormat="1" x14ac:dyDescent="0.25"/>
    <row r="2" spans="1:23" s="6" customFormat="1" x14ac:dyDescent="0.25">
      <c r="A2" s="81" t="s">
        <v>61</v>
      </c>
      <c r="B2" s="129">
        <v>44446</v>
      </c>
      <c r="C2" s="130"/>
    </row>
    <row r="3" spans="1:23" ht="15.75" thickBot="1" x14ac:dyDescent="0.3">
      <c r="D3" s="1"/>
      <c r="H3" s="1"/>
    </row>
    <row r="4" spans="1:23" ht="15.75" thickBot="1" x14ac:dyDescent="0.3">
      <c r="A4" s="135" t="s">
        <v>46</v>
      </c>
      <c r="B4" s="136"/>
      <c r="C4" s="58">
        <v>686.84500000000003</v>
      </c>
      <c r="D4" s="1"/>
      <c r="H4" s="1"/>
    </row>
    <row r="5" spans="1:23" ht="15.75" thickBot="1" x14ac:dyDescent="0.3">
      <c r="A5" s="131" t="s">
        <v>115</v>
      </c>
      <c r="B5" s="132"/>
      <c r="C5" s="57">
        <v>4356.16</v>
      </c>
    </row>
    <row r="6" spans="1:23" s="6" customFormat="1" ht="15.75" thickBot="1" x14ac:dyDescent="0.3">
      <c r="A6" s="131" t="s">
        <v>111</v>
      </c>
      <c r="B6" s="132"/>
      <c r="C6" s="57">
        <v>14666</v>
      </c>
    </row>
    <row r="7" spans="1:23" s="6" customFormat="1" ht="15.75" thickBot="1" x14ac:dyDescent="0.3">
      <c r="A7" s="133" t="s">
        <v>114</v>
      </c>
      <c r="B7" s="134"/>
      <c r="C7" s="57">
        <v>6459</v>
      </c>
    </row>
    <row r="8" spans="1:23" s="6" customFormat="1" ht="15.75" thickBot="1" x14ac:dyDescent="0.3"/>
    <row r="9" spans="1:23" ht="16.5" thickBot="1" x14ac:dyDescent="0.3">
      <c r="A9" s="99" t="s">
        <v>63</v>
      </c>
      <c r="B9" s="100">
        <v>1070</v>
      </c>
      <c r="C9" s="100" t="s">
        <v>74</v>
      </c>
      <c r="D9" s="100">
        <v>1080</v>
      </c>
      <c r="E9" s="100" t="s">
        <v>11</v>
      </c>
      <c r="F9" s="100" t="s">
        <v>45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60</v>
      </c>
      <c r="N9" s="100">
        <v>3060</v>
      </c>
      <c r="O9" s="100" t="s">
        <v>12</v>
      </c>
      <c r="P9" s="100" t="s">
        <v>103</v>
      </c>
      <c r="Q9" s="100">
        <v>3070</v>
      </c>
      <c r="R9" s="100" t="s">
        <v>104</v>
      </c>
      <c r="S9" s="100" t="s">
        <v>107</v>
      </c>
      <c r="T9" s="100">
        <v>3080</v>
      </c>
      <c r="U9" s="122" t="s">
        <v>105</v>
      </c>
      <c r="V9" s="122" t="s">
        <v>106</v>
      </c>
      <c r="W9" s="101">
        <v>3090</v>
      </c>
    </row>
    <row r="10" spans="1:23" ht="15.75" x14ac:dyDescent="0.25">
      <c r="A10" s="105" t="s">
        <v>10</v>
      </c>
      <c r="B10" s="106">
        <v>30</v>
      </c>
      <c r="C10" s="106">
        <v>31.9</v>
      </c>
      <c r="D10" s="106">
        <v>34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48</v>
      </c>
      <c r="O10" s="106">
        <v>60.5</v>
      </c>
      <c r="P10" s="106">
        <v>30</v>
      </c>
      <c r="Q10" s="106">
        <v>60.56</v>
      </c>
      <c r="R10" s="106"/>
      <c r="S10" s="106">
        <v>43</v>
      </c>
      <c r="T10" s="106">
        <v>93</v>
      </c>
      <c r="U10" s="123"/>
      <c r="V10" s="123">
        <v>64</v>
      </c>
      <c r="W10" s="107">
        <v>120</v>
      </c>
    </row>
    <row r="11" spans="1:23" ht="15.75" x14ac:dyDescent="0.25">
      <c r="A11" s="102" t="s">
        <v>36</v>
      </c>
      <c r="B11" s="98">
        <v>120</v>
      </c>
      <c r="C11" s="98">
        <v>135</v>
      </c>
      <c r="D11" s="98">
        <v>170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120</v>
      </c>
      <c r="Q11" s="98">
        <v>120</v>
      </c>
      <c r="R11" s="98"/>
      <c r="S11" s="98">
        <v>150</v>
      </c>
      <c r="T11" s="98">
        <v>260</v>
      </c>
      <c r="U11" s="124"/>
      <c r="V11" s="124">
        <v>240</v>
      </c>
      <c r="W11" s="63">
        <v>285</v>
      </c>
    </row>
    <row r="12" spans="1:23" ht="16.5" thickBot="1" x14ac:dyDescent="0.3">
      <c r="A12" s="103" t="s">
        <v>62</v>
      </c>
      <c r="B12" s="104">
        <v>530</v>
      </c>
      <c r="C12" s="104">
        <v>550</v>
      </c>
      <c r="D12" s="104">
        <v>550</v>
      </c>
      <c r="E12" s="104">
        <v>850</v>
      </c>
      <c r="F12" s="104">
        <v>650</v>
      </c>
      <c r="G12" s="104">
        <v>750</v>
      </c>
      <c r="H12" s="104">
        <v>850</v>
      </c>
      <c r="I12" s="104">
        <v>900</v>
      </c>
      <c r="J12" s="104">
        <v>950</v>
      </c>
      <c r="K12" s="104">
        <v>950</v>
      </c>
      <c r="L12" s="104">
        <v>1100</v>
      </c>
      <c r="M12" s="104">
        <v>1200</v>
      </c>
      <c r="N12" s="104">
        <v>850</v>
      </c>
      <c r="O12" s="104">
        <v>1500</v>
      </c>
      <c r="P12" s="104">
        <v>1050</v>
      </c>
      <c r="Q12" s="104">
        <v>1750</v>
      </c>
      <c r="R12" s="104"/>
      <c r="S12" s="104">
        <v>1500</v>
      </c>
      <c r="T12" s="104">
        <v>2350</v>
      </c>
      <c r="U12" s="125"/>
      <c r="V12" s="125">
        <v>2250</v>
      </c>
      <c r="W12" s="65">
        <v>3500</v>
      </c>
    </row>
    <row r="13" spans="1:23" x14ac:dyDescent="0.25"/>
    <row r="14" spans="1:23" ht="15.75" thickBot="1" x14ac:dyDescent="0.3"/>
    <row r="15" spans="1:23" ht="16.5" thickBot="1" x14ac:dyDescent="0.3">
      <c r="A15" s="99" t="s">
        <v>64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71</v>
      </c>
      <c r="H15" s="100" t="s">
        <v>70</v>
      </c>
      <c r="I15" s="100">
        <v>5700</v>
      </c>
      <c r="J15" s="100" t="s">
        <v>65</v>
      </c>
      <c r="K15" s="100" t="s">
        <v>67</v>
      </c>
      <c r="L15" s="100">
        <v>6800</v>
      </c>
      <c r="M15" s="100" t="s">
        <v>68</v>
      </c>
      <c r="N15" s="100" t="s">
        <v>72</v>
      </c>
      <c r="O15" s="100" t="s">
        <v>73</v>
      </c>
      <c r="P15" s="100" t="s">
        <v>69</v>
      </c>
      <c r="Q15" s="101" t="s">
        <v>66</v>
      </c>
      <c r="R15"/>
      <c r="S15"/>
      <c r="U15"/>
      <c r="V15"/>
    </row>
    <row r="16" spans="1:23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  <c r="R16"/>
      <c r="S16"/>
      <c r="U16"/>
      <c r="V16"/>
    </row>
    <row r="17" spans="1:22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  <c r="R17"/>
      <c r="S17"/>
      <c r="U17"/>
      <c r="V17"/>
    </row>
    <row r="18" spans="1:22" ht="16.5" thickBot="1" x14ac:dyDescent="0.3">
      <c r="A18" s="103" t="s">
        <v>62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800</v>
      </c>
      <c r="L18" s="104">
        <v>1300</v>
      </c>
      <c r="M18" s="104">
        <v>1700</v>
      </c>
      <c r="N18" s="104">
        <v>1600</v>
      </c>
      <c r="O18" s="104">
        <v>700</v>
      </c>
      <c r="P18" s="104">
        <v>850</v>
      </c>
      <c r="Q18" s="65">
        <v>2100</v>
      </c>
      <c r="R18"/>
      <c r="S18"/>
      <c r="U18"/>
      <c r="V18"/>
    </row>
    <row r="19" spans="1:22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s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I29" sqref="I29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43" t="s">
        <v>78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30" s="6" customFormat="1" x14ac:dyDescent="0.25">
      <c r="A2" s="158" t="s">
        <v>44</v>
      </c>
      <c r="B2" s="158"/>
      <c r="C2" s="129">
        <f>'Card Data'!$B$2</f>
        <v>44446</v>
      </c>
      <c r="D2" s="130"/>
      <c r="E2"/>
      <c r="O2" s="157" t="s">
        <v>49</v>
      </c>
      <c r="P2" s="157"/>
      <c r="Q2" s="157"/>
      <c r="R2" s="157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7" t="s">
        <v>32</v>
      </c>
      <c r="B4" s="153" t="s">
        <v>56</v>
      </c>
      <c r="C4" s="154"/>
      <c r="D4" s="59">
        <f>'Electricity Calculations'!$F$5</f>
        <v>10.324999999999999</v>
      </c>
      <c r="E4" s="1"/>
      <c r="F4" s="153" t="s">
        <v>50</v>
      </c>
      <c r="G4" s="154"/>
      <c r="H4" s="57">
        <f>'Card Data'!$C$5</f>
        <v>4356.16</v>
      </c>
      <c r="I4" s="1"/>
      <c r="J4" s="153" t="s">
        <v>113</v>
      </c>
      <c r="K4" s="154"/>
      <c r="L4" s="57">
        <f>'Card Data'!$C$7</f>
        <v>6459</v>
      </c>
      <c r="N4" s="135" t="s">
        <v>48</v>
      </c>
      <c r="O4" s="136"/>
      <c r="P4" s="155">
        <f>$L$4*$L$5*$H$4/$D$5/10000</f>
        <v>9.3015807875139203</v>
      </c>
    </row>
    <row r="5" spans="1:30" s="6" customFormat="1" ht="15.75" thickBot="1" x14ac:dyDescent="0.3">
      <c r="A5" s="138"/>
      <c r="B5" s="153" t="s">
        <v>46</v>
      </c>
      <c r="C5" s="154"/>
      <c r="D5" s="58">
        <f>'Card Data'!$C$4</f>
        <v>686.84500000000003</v>
      </c>
      <c r="E5" s="1"/>
      <c r="F5" s="153" t="s">
        <v>112</v>
      </c>
      <c r="G5" s="154"/>
      <c r="H5" s="57">
        <f>'Card Data'!$C$6</f>
        <v>14666</v>
      </c>
      <c r="I5" s="1"/>
      <c r="J5" s="153" t="s">
        <v>39</v>
      </c>
      <c r="K5" s="154"/>
      <c r="L5" s="59">
        <f>$H$5/$L$4</f>
        <v>2.2706301285028641</v>
      </c>
      <c r="N5" s="159"/>
      <c r="O5" s="160"/>
      <c r="P5" s="156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8"/>
      <c r="V6"/>
      <c r="W6"/>
      <c r="X6"/>
      <c r="Y6"/>
      <c r="Z6"/>
      <c r="AA6"/>
      <c r="AB6"/>
      <c r="AC6"/>
      <c r="AD6"/>
    </row>
    <row r="7" spans="1:30" ht="15.75" thickBot="1" x14ac:dyDescent="0.3">
      <c r="A7" s="138"/>
      <c r="B7" s="7" t="s">
        <v>0</v>
      </c>
      <c r="C7" s="9">
        <v>1070</v>
      </c>
      <c r="D7" s="82" t="s">
        <v>74</v>
      </c>
      <c r="E7" s="10">
        <v>1080</v>
      </c>
      <c r="F7" s="10" t="s">
        <v>11</v>
      </c>
      <c r="G7" s="10" t="s">
        <v>45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60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8"/>
      <c r="B8" s="26" t="s">
        <v>51</v>
      </c>
      <c r="C8" s="61">
        <f>$P$4*C9/100</f>
        <v>2.7904742362541759</v>
      </c>
      <c r="D8" s="83">
        <f>$P$4*D9/100</f>
        <v>2.9672042712169406</v>
      </c>
      <c r="E8" s="27">
        <f t="shared" ref="E8:R8" si="0">$P$4*E9/100</f>
        <v>3.1625374677547331</v>
      </c>
      <c r="F8" s="27">
        <f t="shared" si="0"/>
        <v>4.2787271622564029</v>
      </c>
      <c r="G8" s="27">
        <f t="shared" si="0"/>
        <v>2.7904742362541759</v>
      </c>
      <c r="H8" s="27">
        <f t="shared" si="0"/>
        <v>2.9765058520044545</v>
      </c>
      <c r="I8" s="27">
        <f t="shared" si="0"/>
        <v>3.9299178827246313</v>
      </c>
      <c r="J8" s="27">
        <f t="shared" si="0"/>
        <v>4.0926955465061248</v>
      </c>
      <c r="K8" s="27">
        <f t="shared" si="0"/>
        <v>3.9996797386309857</v>
      </c>
      <c r="L8" s="27">
        <f t="shared" si="0"/>
        <v>3.9996797386309857</v>
      </c>
      <c r="M8" s="27">
        <f t="shared" si="0"/>
        <v>3.9252670923308743</v>
      </c>
      <c r="N8" s="27">
        <f t="shared" si="0"/>
        <v>5.5065358262082409</v>
      </c>
      <c r="O8" s="27">
        <f t="shared" si="0"/>
        <v>5.627456376445922</v>
      </c>
      <c r="P8" s="27">
        <f t="shared" si="0"/>
        <v>5.6330373249184298</v>
      </c>
      <c r="Q8" s="27">
        <f t="shared" si="0"/>
        <v>8.6504701323879445</v>
      </c>
      <c r="R8" s="28">
        <f t="shared" si="0"/>
        <v>11.161896945016704</v>
      </c>
      <c r="S8" s="2"/>
    </row>
    <row r="9" spans="1:30" x14ac:dyDescent="0.25">
      <c r="A9" s="138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34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93</v>
      </c>
      <c r="R9" s="80">
        <f>INDEX('Card Data'!$10:$10,MATCH('Nvidia Analysis'!R$7,'Card Data'!$9:$9,0))</f>
        <v>120</v>
      </c>
      <c r="T9" s="2"/>
    </row>
    <row r="10" spans="1:30" x14ac:dyDescent="0.25">
      <c r="A10" s="138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170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260</v>
      </c>
      <c r="R10" s="32">
        <f>INDEX('Card Data'!$11:$11,MATCH('Nvidia Analysis'!R$7,'Card Data'!$9:$9,0))</f>
        <v>285</v>
      </c>
      <c r="T10" s="2"/>
    </row>
    <row r="11" spans="1:30" x14ac:dyDescent="0.25">
      <c r="A11" s="138"/>
      <c r="B11" s="15" t="s">
        <v>55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0.42125999999999997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0.64427999999999996</v>
      </c>
      <c r="R11" s="18">
        <f t="shared" si="1"/>
        <v>0.70622999999999991</v>
      </c>
    </row>
    <row r="12" spans="1:30" ht="17.25" x14ac:dyDescent="0.25">
      <c r="A12" s="138"/>
      <c r="B12" s="29" t="s">
        <v>52</v>
      </c>
      <c r="C12" s="33">
        <f t="shared" ref="C12:R12" si="2">C8-C11</f>
        <v>2.4931142362541761</v>
      </c>
      <c r="D12" s="87">
        <f t="shared" ref="D12" si="3">D8-D11</f>
        <v>2.6326742712169406</v>
      </c>
      <c r="E12" s="34">
        <f t="shared" si="2"/>
        <v>2.7412774677547329</v>
      </c>
      <c r="F12" s="34">
        <f t="shared" si="2"/>
        <v>3.6840071622564032</v>
      </c>
      <c r="G12" s="34">
        <f t="shared" ref="G12" si="4">G8-G11</f>
        <v>2.5674542362541759</v>
      </c>
      <c r="H12" s="34">
        <f>H8-H11</f>
        <v>2.7534858520044545</v>
      </c>
      <c r="I12" s="34">
        <f t="shared" si="2"/>
        <v>3.6573378827246312</v>
      </c>
      <c r="J12" s="34">
        <f t="shared" si="2"/>
        <v>3.7953355465061249</v>
      </c>
      <c r="K12" s="34">
        <f t="shared" si="2"/>
        <v>3.6899297386309859</v>
      </c>
      <c r="L12" s="34">
        <f t="shared" si="2"/>
        <v>3.7320557386309856</v>
      </c>
      <c r="M12" s="34">
        <f t="shared" si="2"/>
        <v>3.5783470923308744</v>
      </c>
      <c r="N12" s="34">
        <f t="shared" si="2"/>
        <v>4.936595826208241</v>
      </c>
      <c r="O12" s="34">
        <f t="shared" si="2"/>
        <v>5.3300963764459217</v>
      </c>
      <c r="P12" s="34">
        <f t="shared" si="2"/>
        <v>5.3356773249184295</v>
      </c>
      <c r="Q12" s="34">
        <f t="shared" si="2"/>
        <v>8.0061901323879443</v>
      </c>
      <c r="R12" s="35">
        <f t="shared" si="2"/>
        <v>10.455666945016704</v>
      </c>
    </row>
    <row r="13" spans="1:30" ht="17.25" x14ac:dyDescent="0.25">
      <c r="A13" s="138"/>
      <c r="B13" s="15" t="s">
        <v>53</v>
      </c>
      <c r="C13" s="19">
        <f>INDEX('Card Data'!$12:$12,MATCH('Nvidia Analysis'!C$7,'Card Data'!$9:$9,0))</f>
        <v>530</v>
      </c>
      <c r="D13" s="88">
        <f>INDEX('Card Data'!$12:$12,MATCH('Nvidia Analysis'!D$7,'Card Data'!$9:$9,0))</f>
        <v>550</v>
      </c>
      <c r="E13" s="20">
        <f>INDEX('Card Data'!$12:$12,MATCH('Nvidia Analysis'!E$7,'Card Data'!$9:$9,0))</f>
        <v>550</v>
      </c>
      <c r="F13" s="20">
        <f>INDEX('Card Data'!$12:$12,MATCH('Nvidia Analysis'!F$7,'Card Data'!$9:$9,0))</f>
        <v>850</v>
      </c>
      <c r="G13" s="20">
        <f>INDEX('Card Data'!$12:$12,MATCH('Nvidia Analysis'!G$7,'Card Data'!$9:$9,0))</f>
        <v>650</v>
      </c>
      <c r="H13" s="20">
        <f>INDEX('Card Data'!$12:$12,MATCH('Nvidia Analysis'!H$7,'Card Data'!$9:$9,0))</f>
        <v>750</v>
      </c>
      <c r="I13" s="20">
        <f>INDEX('Card Data'!$12:$12,MATCH('Nvidia Analysis'!I$7,'Card Data'!$9:$9,0))</f>
        <v>850</v>
      </c>
      <c r="J13" s="20">
        <f>INDEX('Card Data'!$12:$12,MATCH('Nvidia Analysis'!J$7,'Card Data'!$9:$9,0))</f>
        <v>900</v>
      </c>
      <c r="K13" s="20">
        <f>INDEX('Card Data'!$12:$12,MATCH('Nvidia Analysis'!K$7,'Card Data'!$9:$9,0))</f>
        <v>950</v>
      </c>
      <c r="L13" s="20">
        <f>INDEX('Card Data'!$12:$12,MATCH('Nvidia Analysis'!L$7,'Card Data'!$9:$9,0))</f>
        <v>950</v>
      </c>
      <c r="M13" s="20">
        <f>INDEX('Card Data'!$12:$12,MATCH('Nvidia Analysis'!M$7,'Card Data'!$9:$9,0))</f>
        <v>1100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1500</v>
      </c>
      <c r="P13" s="20">
        <f>INDEX('Card Data'!$12:$12,MATCH('Nvidia Analysis'!P$7,'Card Data'!$9:$9,0))</f>
        <v>1750</v>
      </c>
      <c r="Q13" s="20">
        <f>INDEX('Card Data'!$12:$12,MATCH('Nvidia Analysis'!Q$7,'Card Data'!$9:$9,0))</f>
        <v>2350</v>
      </c>
      <c r="R13" s="21">
        <f>INDEX('Card Data'!$12:$12,MATCH('Nvidia Analysis'!R$7,'Card Data'!$9:$9,0))</f>
        <v>3500</v>
      </c>
    </row>
    <row r="14" spans="1:30" x14ac:dyDescent="0.25">
      <c r="A14" s="138"/>
      <c r="B14" s="29" t="s">
        <v>59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200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357.69230769230768</v>
      </c>
      <c r="R14" s="77">
        <f t="shared" si="5"/>
        <v>421.05263157894734</v>
      </c>
    </row>
    <row r="15" spans="1:30" x14ac:dyDescent="0.25">
      <c r="A15" s="138"/>
      <c r="B15" s="15" t="s">
        <v>54</v>
      </c>
      <c r="C15" s="39">
        <f t="shared" ref="C15:D15" si="6">C13/C12</f>
        <v>212.58552548169953</v>
      </c>
      <c r="D15" s="90">
        <f t="shared" si="6"/>
        <v>208.91304557238874</v>
      </c>
      <c r="E15" s="40">
        <f t="shared" ref="E15:R15" si="7">E13/E12</f>
        <v>200.63638448481549</v>
      </c>
      <c r="F15" s="40">
        <f t="shared" si="7"/>
        <v>230.72702157272323</v>
      </c>
      <c r="G15" s="40">
        <f t="shared" ref="G15" si="8">G13/G12</f>
        <v>253.16906950922981</v>
      </c>
      <c r="H15" s="40">
        <f t="shared" si="7"/>
        <v>272.38200605026628</v>
      </c>
      <c r="I15" s="40">
        <f t="shared" si="7"/>
        <v>232.40948122812483</v>
      </c>
      <c r="J15" s="40">
        <f t="shared" si="7"/>
        <v>237.13318334356859</v>
      </c>
      <c r="K15" s="40">
        <f>K13/K12</f>
        <v>257.45747677907355</v>
      </c>
      <c r="L15" s="40">
        <f t="shared" si="7"/>
        <v>254.55139647739679</v>
      </c>
      <c r="M15" s="40">
        <f t="shared" si="7"/>
        <v>307.40450035088094</v>
      </c>
      <c r="N15" s="40">
        <f t="shared" si="7"/>
        <v>243.08248887406086</v>
      </c>
      <c r="O15" s="40">
        <f t="shared" si="7"/>
        <v>281.42080256345974</v>
      </c>
      <c r="P15" s="40">
        <f t="shared" si="7"/>
        <v>327.9808529326225</v>
      </c>
      <c r="Q15" s="40">
        <f t="shared" si="7"/>
        <v>293.52288181283598</v>
      </c>
      <c r="R15" s="41">
        <f t="shared" si="7"/>
        <v>334.74669941243127</v>
      </c>
    </row>
    <row r="16" spans="1:30" ht="18" thickBot="1" x14ac:dyDescent="0.3">
      <c r="A16" s="138"/>
      <c r="B16" s="8" t="s">
        <v>40</v>
      </c>
      <c r="C16" s="36">
        <f>IFERROR(C12*365/C13,"N/A")</f>
        <v>1.7169560306278759</v>
      </c>
      <c r="D16" s="91">
        <f t="shared" ref="D16:R16" si="9">IFERROR(D12*365/D13,"N/A")</f>
        <v>1.7471383799894242</v>
      </c>
      <c r="E16" s="37">
        <f t="shared" si="9"/>
        <v>1.81921141041905</v>
      </c>
      <c r="F16" s="37">
        <f t="shared" si="9"/>
        <v>1.581956016733632</v>
      </c>
      <c r="G16" s="37">
        <f t="shared" si="9"/>
        <v>1.4417243018965757</v>
      </c>
      <c r="H16" s="37">
        <f t="shared" si="9"/>
        <v>1.3400297813088347</v>
      </c>
      <c r="I16" s="37">
        <f t="shared" si="9"/>
        <v>1.5705039143464592</v>
      </c>
      <c r="J16" s="37">
        <f t="shared" si="9"/>
        <v>1.5392194160830395</v>
      </c>
      <c r="K16" s="37">
        <f t="shared" si="9"/>
        <v>1.4177098469476945</v>
      </c>
      <c r="L16" s="37">
        <f t="shared" si="9"/>
        <v>1.4338950995792734</v>
      </c>
      <c r="M16" s="37">
        <f t="shared" si="9"/>
        <v>1.1873606260916083</v>
      </c>
      <c r="N16" s="37">
        <f t="shared" si="9"/>
        <v>1.50154789713834</v>
      </c>
      <c r="O16" s="37">
        <f t="shared" si="9"/>
        <v>1.2969901182685075</v>
      </c>
      <c r="P16" s="37">
        <f t="shared" si="9"/>
        <v>1.1128698420544152</v>
      </c>
      <c r="Q16" s="37">
        <f t="shared" si="9"/>
        <v>1.2435146375836594</v>
      </c>
      <c r="R16" s="38">
        <f t="shared" si="9"/>
        <v>1.0903766956945991</v>
      </c>
    </row>
    <row r="17" spans="1:30" s="6" customFormat="1" x14ac:dyDescent="0.25">
      <c r="A17" s="138"/>
      <c r="B17" s="144" t="s">
        <v>41</v>
      </c>
      <c r="C17" s="145"/>
      <c r="D17" s="145"/>
      <c r="E17" s="145"/>
      <c r="F17" s="145"/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6"/>
      <c r="V17"/>
      <c r="W17"/>
      <c r="X17"/>
      <c r="Y17"/>
      <c r="Z17"/>
      <c r="AA17"/>
      <c r="AB17"/>
      <c r="AC17"/>
      <c r="AD17"/>
    </row>
    <row r="18" spans="1:30" ht="15.75" x14ac:dyDescent="0.25">
      <c r="A18" s="138"/>
      <c r="B18" s="147" t="s">
        <v>43</v>
      </c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9"/>
    </row>
    <row r="19" spans="1:30" ht="16.5" thickBot="1" x14ac:dyDescent="0.3">
      <c r="A19" s="139"/>
      <c r="B19" s="150" t="s">
        <v>42</v>
      </c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2"/>
    </row>
    <row r="20" spans="1:30" ht="15.75" thickBot="1" x14ac:dyDescent="0.3"/>
    <row r="21" spans="1:30" ht="15.75" thickBot="1" x14ac:dyDescent="0.3">
      <c r="A21" s="137" t="s">
        <v>18</v>
      </c>
      <c r="B21" s="108" t="s">
        <v>33</v>
      </c>
      <c r="C21" s="60">
        <f>1-2/$L$5</f>
        <v>0.11918723578344459</v>
      </c>
      <c r="D21" s="92"/>
    </row>
    <row r="22" spans="1:30" ht="15.75" customHeight="1" thickBot="1" x14ac:dyDescent="0.3">
      <c r="A22" s="138"/>
      <c r="B22" s="3" t="s">
        <v>0</v>
      </c>
      <c r="C22" s="23">
        <f>C$7</f>
        <v>1070</v>
      </c>
      <c r="D22" s="82" t="s">
        <v>74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8"/>
      <c r="B23" s="42" t="s">
        <v>35</v>
      </c>
      <c r="C23" s="43">
        <f t="shared" ref="C23:R23" si="11">C$8*(1-$C$21)</f>
        <v>2.4578853255101221</v>
      </c>
      <c r="D23" s="93">
        <f t="shared" si="11"/>
        <v>2.6135513961257635</v>
      </c>
      <c r="E23" s="44">
        <f t="shared" si="11"/>
        <v>2.7856033689114721</v>
      </c>
      <c r="F23" s="44">
        <f t="shared" si="11"/>
        <v>3.7687574991155204</v>
      </c>
      <c r="G23" s="44">
        <f t="shared" si="11"/>
        <v>2.4578853255101221</v>
      </c>
      <c r="H23" s="44">
        <f t="shared" si="11"/>
        <v>2.6217443472107971</v>
      </c>
      <c r="I23" s="44">
        <f t="shared" si="11"/>
        <v>3.4615218334267555</v>
      </c>
      <c r="J23" s="44">
        <f t="shared" si="11"/>
        <v>3.6048984774148458</v>
      </c>
      <c r="K23" s="44">
        <f t="shared" si="11"/>
        <v>3.5229689665645085</v>
      </c>
      <c r="L23" s="44">
        <f t="shared" si="11"/>
        <v>3.5229689665645085</v>
      </c>
      <c r="M23" s="44">
        <f t="shared" si="11"/>
        <v>3.4574253578842384</v>
      </c>
      <c r="N23" s="44">
        <f t="shared" si="11"/>
        <v>4.8502270423399745</v>
      </c>
      <c r="O23" s="44">
        <f t="shared" si="11"/>
        <v>4.9567354064454134</v>
      </c>
      <c r="P23" s="44">
        <f t="shared" si="11"/>
        <v>4.9616511770964333</v>
      </c>
      <c r="Q23" s="44">
        <f t="shared" si="11"/>
        <v>7.6194445090813776</v>
      </c>
      <c r="R23" s="45">
        <f t="shared" si="11"/>
        <v>9.8315413020404883</v>
      </c>
    </row>
    <row r="24" spans="1:30" x14ac:dyDescent="0.25">
      <c r="A24" s="138"/>
      <c r="B24" s="22" t="s">
        <v>17</v>
      </c>
      <c r="C24" s="50">
        <f t="shared" ref="C24:R24" si="12">C23-C$11</f>
        <v>2.1605253255101222</v>
      </c>
      <c r="D24" s="94">
        <f t="shared" ref="D24" si="13">D23-D$11</f>
        <v>2.2790213961257635</v>
      </c>
      <c r="E24" s="51">
        <f t="shared" si="12"/>
        <v>2.3643433689114719</v>
      </c>
      <c r="F24" s="51">
        <f t="shared" si="12"/>
        <v>3.1740374991155207</v>
      </c>
      <c r="G24" s="51">
        <f t="shared" ref="G24" si="14">G23-G$11</f>
        <v>2.2348653255101221</v>
      </c>
      <c r="H24" s="51">
        <f t="shared" si="12"/>
        <v>2.3987243472107971</v>
      </c>
      <c r="I24" s="51">
        <f t="shared" si="12"/>
        <v>3.1889418334267554</v>
      </c>
      <c r="J24" s="51">
        <f t="shared" si="12"/>
        <v>3.307538477414846</v>
      </c>
      <c r="K24" s="51">
        <f t="shared" si="12"/>
        <v>3.2132189665645088</v>
      </c>
      <c r="L24" s="51">
        <f t="shared" si="12"/>
        <v>3.2553449665645084</v>
      </c>
      <c r="M24" s="51">
        <f t="shared" si="12"/>
        <v>3.1105053578842385</v>
      </c>
      <c r="N24" s="51">
        <f t="shared" si="12"/>
        <v>4.2802870423399746</v>
      </c>
      <c r="O24" s="51">
        <f t="shared" si="12"/>
        <v>4.6593754064454131</v>
      </c>
      <c r="P24" s="51">
        <f t="shared" si="12"/>
        <v>4.664291177096433</v>
      </c>
      <c r="Q24" s="51">
        <f t="shared" si="12"/>
        <v>6.9751645090813774</v>
      </c>
      <c r="R24" s="52">
        <f t="shared" si="12"/>
        <v>9.1253113020404886</v>
      </c>
    </row>
    <row r="25" spans="1:30" x14ac:dyDescent="0.25">
      <c r="A25" s="138"/>
      <c r="B25" s="46" t="s">
        <v>15</v>
      </c>
      <c r="C25" s="47">
        <f t="shared" ref="C25:R25" si="15">IF(C24&gt;0,C$13/C24,"N/A")</f>
        <v>245.31070927153402</v>
      </c>
      <c r="D25" s="95">
        <f t="shared" ref="D25" si="16">IF(D24&gt;0,D$13/D24,"N/A")</f>
        <v>241.33165267117539</v>
      </c>
      <c r="E25" s="48">
        <f t="shared" si="15"/>
        <v>232.62272613694702</v>
      </c>
      <c r="F25" s="48">
        <f t="shared" si="15"/>
        <v>267.79771828053748</v>
      </c>
      <c r="G25" s="48">
        <f t="shared" ref="G25" si="17">IF(G24&gt;0,G$13/G24,"N/A")</f>
        <v>290.84526596770809</v>
      </c>
      <c r="H25" s="48">
        <f t="shared" si="15"/>
        <v>312.66618895668</v>
      </c>
      <c r="I25" s="48">
        <f t="shared" si="15"/>
        <v>266.54609723207517</v>
      </c>
      <c r="J25" s="48">
        <f t="shared" si="15"/>
        <v>272.10567802779883</v>
      </c>
      <c r="K25" s="48">
        <f t="shared" si="15"/>
        <v>295.65367623100883</v>
      </c>
      <c r="L25" s="48">
        <f t="shared" si="15"/>
        <v>291.82775090118076</v>
      </c>
      <c r="M25" s="48">
        <f t="shared" si="15"/>
        <v>353.64028459613985</v>
      </c>
      <c r="N25" s="48">
        <f t="shared" si="15"/>
        <v>280.35502949446504</v>
      </c>
      <c r="O25" s="48">
        <f t="shared" si="15"/>
        <v>321.93156145457135</v>
      </c>
      <c r="P25" s="48">
        <f t="shared" si="15"/>
        <v>375.19098477239413</v>
      </c>
      <c r="Q25" s="48">
        <f t="shared" si="15"/>
        <v>336.90961653168131</v>
      </c>
      <c r="R25" s="49">
        <f t="shared" si="15"/>
        <v>383.54855896448964</v>
      </c>
    </row>
    <row r="26" spans="1:30" ht="15.75" thickBot="1" x14ac:dyDescent="0.3">
      <c r="A26" s="138"/>
      <c r="B26" s="53" t="s">
        <v>16</v>
      </c>
      <c r="C26" s="54">
        <f>IFERROR(C24*365/C$13,"N/A")</f>
        <v>1.4879089505871597</v>
      </c>
      <c r="D26" s="96">
        <f t="shared" ref="D26:R26" si="18">IFERROR(D24*365/D$13,"N/A")</f>
        <v>1.5124414719743702</v>
      </c>
      <c r="E26" s="55">
        <f t="shared" si="18"/>
        <v>1.5690642357321587</v>
      </c>
      <c r="F26" s="55">
        <f t="shared" si="18"/>
        <v>1.3629690437378412</v>
      </c>
      <c r="G26" s="55">
        <f t="shared" si="18"/>
        <v>1.2549628366326069</v>
      </c>
      <c r="H26" s="55">
        <f t="shared" si="18"/>
        <v>1.1673791823092545</v>
      </c>
      <c r="I26" s="55">
        <f t="shared" si="18"/>
        <v>1.3693691402361949</v>
      </c>
      <c r="J26" s="55">
        <f t="shared" si="18"/>
        <v>1.3413906047293542</v>
      </c>
      <c r="K26" s="55">
        <f t="shared" si="18"/>
        <v>1.234552550311627</v>
      </c>
      <c r="L26" s="55">
        <f t="shared" si="18"/>
        <v>1.2507378029432057</v>
      </c>
      <c r="M26" s="55">
        <f t="shared" si="18"/>
        <v>1.032122232388861</v>
      </c>
      <c r="N26" s="55">
        <f t="shared" si="18"/>
        <v>1.3019206420450755</v>
      </c>
      <c r="O26" s="55">
        <f t="shared" si="18"/>
        <v>1.1337813489017172</v>
      </c>
      <c r="P26" s="55">
        <f t="shared" si="18"/>
        <v>0.97283787408011324</v>
      </c>
      <c r="Q26" s="55">
        <f t="shared" si="18"/>
        <v>1.083376615240299</v>
      </c>
      <c r="R26" s="56">
        <f t="shared" si="18"/>
        <v>0.95163960721279373</v>
      </c>
    </row>
    <row r="27" spans="1:30" ht="108.75" customHeight="1" thickBot="1" x14ac:dyDescent="0.3">
      <c r="A27" s="139"/>
      <c r="B27" s="140" t="s">
        <v>38</v>
      </c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2"/>
    </row>
    <row r="28" spans="1:30" ht="15.75" thickBot="1" x14ac:dyDescent="0.3"/>
    <row r="29" spans="1:30" ht="15.75" thickBot="1" x14ac:dyDescent="0.3">
      <c r="A29" s="137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8"/>
      <c r="B30" s="3" t="s">
        <v>0</v>
      </c>
      <c r="C30" s="23">
        <f>C$7</f>
        <v>1070</v>
      </c>
      <c r="D30" s="82" t="s">
        <v>74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8"/>
      <c r="B31" s="42" t="s">
        <v>35</v>
      </c>
      <c r="C31" s="43">
        <f t="shared" ref="C31:R31" si="20">C$8*(1-$C$29)</f>
        <v>0.16484652071821837</v>
      </c>
      <c r="D31" s="93">
        <f t="shared" si="20"/>
        <v>0.17528680036370556</v>
      </c>
      <c r="E31" s="44">
        <f t="shared" si="20"/>
        <v>0.18682605681398085</v>
      </c>
      <c r="F31" s="44">
        <f t="shared" si="20"/>
        <v>0.25276466510126816</v>
      </c>
      <c r="G31" s="44">
        <f t="shared" si="20"/>
        <v>0.16484652071821837</v>
      </c>
      <c r="H31" s="44">
        <f t="shared" si="20"/>
        <v>0.17583628876609961</v>
      </c>
      <c r="I31" s="44">
        <f t="shared" si="20"/>
        <v>0.23215885001149089</v>
      </c>
      <c r="J31" s="44">
        <f t="shared" si="20"/>
        <v>0.24177489705338695</v>
      </c>
      <c r="K31" s="44">
        <f t="shared" si="20"/>
        <v>0.23628001302944635</v>
      </c>
      <c r="L31" s="44">
        <f t="shared" si="20"/>
        <v>0.23628001302944635</v>
      </c>
      <c r="M31" s="44">
        <f t="shared" si="20"/>
        <v>0.23188410581029387</v>
      </c>
      <c r="N31" s="44">
        <f t="shared" si="20"/>
        <v>0.32529713421728429</v>
      </c>
      <c r="O31" s="44">
        <f t="shared" si="20"/>
        <v>0.3324404834484071</v>
      </c>
      <c r="P31" s="44">
        <f t="shared" si="20"/>
        <v>0.33277017648984347</v>
      </c>
      <c r="Q31" s="44">
        <f t="shared" si="20"/>
        <v>0.51102421422647692</v>
      </c>
      <c r="R31" s="45">
        <f t="shared" si="20"/>
        <v>0.65938608287287348</v>
      </c>
    </row>
    <row r="32" spans="1:30" x14ac:dyDescent="0.25">
      <c r="A32" s="138"/>
      <c r="B32" s="22" t="s">
        <v>17</v>
      </c>
      <c r="C32" s="50">
        <f t="shared" ref="C32:R32" si="21">C31-C$11</f>
        <v>-0.13251347928178159</v>
      </c>
      <c r="D32" s="94">
        <f t="shared" ref="D32" si="22">D31-D$11</f>
        <v>-0.15924319963629449</v>
      </c>
      <c r="E32" s="51">
        <f t="shared" si="21"/>
        <v>-0.23443394318601912</v>
      </c>
      <c r="F32" s="51">
        <f t="shared" si="21"/>
        <v>-0.34195533489873176</v>
      </c>
      <c r="G32" s="51">
        <f t="shared" ref="G32" si="23">G31-G$11</f>
        <v>-5.8173479281781626E-2</v>
      </c>
      <c r="H32" s="51">
        <f t="shared" si="21"/>
        <v>-4.7183711233900388E-2</v>
      </c>
      <c r="I32" s="51">
        <f t="shared" si="21"/>
        <v>-4.0421149988509097E-2</v>
      </c>
      <c r="J32" s="51">
        <f t="shared" si="21"/>
        <v>-5.5585102946613008E-2</v>
      </c>
      <c r="K32" s="51">
        <f t="shared" si="21"/>
        <v>-7.3469986970553625E-2</v>
      </c>
      <c r="L32" s="51">
        <f t="shared" si="21"/>
        <v>-3.1343986970553628E-2</v>
      </c>
      <c r="M32" s="51">
        <f t="shared" si="21"/>
        <v>-0.11503589418970608</v>
      </c>
      <c r="N32" s="51">
        <f t="shared" si="21"/>
        <v>-0.2446428657827156</v>
      </c>
      <c r="O32" s="51">
        <f t="shared" si="21"/>
        <v>3.508048344840714E-2</v>
      </c>
      <c r="P32" s="51">
        <f t="shared" si="21"/>
        <v>3.5410176489843515E-2</v>
      </c>
      <c r="Q32" s="51">
        <f t="shared" si="21"/>
        <v>-0.13325578577352304</v>
      </c>
      <c r="R32" s="52">
        <f t="shared" si="21"/>
        <v>-4.6843917127126433E-2</v>
      </c>
    </row>
    <row r="33" spans="1:18" x14ac:dyDescent="0.25">
      <c r="A33" s="138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>
        <f t="shared" si="24"/>
        <v>42758.817796968215</v>
      </c>
      <c r="P33" s="48">
        <f t="shared" si="24"/>
        <v>49420.82117274795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8"/>
      <c r="B34" s="53" t="s">
        <v>16</v>
      </c>
      <c r="C34" s="54">
        <f>IFERROR(C32*365/C$13,"N/A")</f>
        <v>-9.1259282901604302E-2</v>
      </c>
      <c r="D34" s="96">
        <f t="shared" ref="D34:R34" si="27">IFERROR(D32*365/D$13,"N/A")</f>
        <v>-0.10567957794044998</v>
      </c>
      <c r="E34" s="55">
        <f t="shared" si="27"/>
        <v>-0.15557888956890362</v>
      </c>
      <c r="F34" s="55">
        <f t="shared" si="27"/>
        <v>-0.14683964380945541</v>
      </c>
      <c r="G34" s="55">
        <f t="shared" si="27"/>
        <v>-3.2666646058231219E-2</v>
      </c>
      <c r="H34" s="55">
        <f t="shared" si="27"/>
        <v>-2.2962739467164855E-2</v>
      </c>
      <c r="I34" s="55">
        <f t="shared" si="27"/>
        <v>-1.735731734800685E-2</v>
      </c>
      <c r="J34" s="55">
        <f t="shared" si="27"/>
        <v>-2.2542847306126386E-2</v>
      </c>
      <c r="K34" s="55">
        <f t="shared" si="27"/>
        <v>-2.8227942362370601E-2</v>
      </c>
      <c r="L34" s="55">
        <f t="shared" si="27"/>
        <v>-1.2042689730791657E-2</v>
      </c>
      <c r="M34" s="55">
        <f t="shared" si="27"/>
        <v>-3.8171001253857022E-2</v>
      </c>
      <c r="N34" s="55">
        <f t="shared" si="27"/>
        <v>-7.4412205008909327E-2</v>
      </c>
      <c r="O34" s="55">
        <f t="shared" si="27"/>
        <v>8.5362509724457372E-3</v>
      </c>
      <c r="P34" s="55">
        <f t="shared" si="27"/>
        <v>7.3855510964530762E-3</v>
      </c>
      <c r="Q34" s="55">
        <f t="shared" si="27"/>
        <v>-2.0697175237164217E-2</v>
      </c>
      <c r="R34" s="56">
        <f t="shared" si="27"/>
        <v>-4.8851513575431859E-3</v>
      </c>
    </row>
    <row r="35" spans="1:18" ht="80.25" customHeight="1" thickBot="1" x14ac:dyDescent="0.3">
      <c r="A35" s="139"/>
      <c r="B35" s="140" t="s">
        <v>47</v>
      </c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2"/>
    </row>
    <row r="36" spans="1:18" ht="15.75" thickBot="1" x14ac:dyDescent="0.3"/>
    <row r="37" spans="1:18" ht="15.75" thickBot="1" x14ac:dyDescent="0.3">
      <c r="A37" s="137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8"/>
      <c r="B38" s="3" t="s">
        <v>0</v>
      </c>
      <c r="C38" s="23">
        <f>C$7</f>
        <v>1070</v>
      </c>
      <c r="D38" s="82" t="s">
        <v>74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8"/>
      <c r="B39" s="42" t="s">
        <v>35</v>
      </c>
      <c r="C39" s="43">
        <f t="shared" ref="C39:R39" si="29">C$8*(1-$C$37)</f>
        <v>0.96325978973898596</v>
      </c>
      <c r="D39" s="93">
        <f t="shared" si="29"/>
        <v>1.0242662430891218</v>
      </c>
      <c r="E39" s="44">
        <f t="shared" si="29"/>
        <v>1.091694428370851</v>
      </c>
      <c r="F39" s="44">
        <f t="shared" si="29"/>
        <v>1.4769983442664452</v>
      </c>
      <c r="G39" s="44">
        <f t="shared" si="29"/>
        <v>0.96325978973898596</v>
      </c>
      <c r="H39" s="44">
        <f t="shared" si="29"/>
        <v>1.0274771090549184</v>
      </c>
      <c r="I39" s="44">
        <f t="shared" si="29"/>
        <v>1.3565908705490719</v>
      </c>
      <c r="J39" s="44">
        <f t="shared" si="29"/>
        <v>1.4127810249505128</v>
      </c>
      <c r="K39" s="44">
        <f t="shared" si="29"/>
        <v>1.3806723652925466</v>
      </c>
      <c r="L39" s="44">
        <f t="shared" si="29"/>
        <v>1.3806723652925466</v>
      </c>
      <c r="M39" s="44">
        <f t="shared" si="29"/>
        <v>1.3549854375661736</v>
      </c>
      <c r="N39" s="44">
        <f t="shared" si="29"/>
        <v>1.9008326517515992</v>
      </c>
      <c r="O39" s="44">
        <f t="shared" si="29"/>
        <v>1.9425739093069552</v>
      </c>
      <c r="P39" s="44">
        <f t="shared" si="29"/>
        <v>1.9445004288864332</v>
      </c>
      <c r="Q39" s="44">
        <f t="shared" si="29"/>
        <v>2.9861053481908564</v>
      </c>
      <c r="R39" s="45">
        <f t="shared" si="29"/>
        <v>3.8530391589559438</v>
      </c>
    </row>
    <row r="40" spans="1:18" x14ac:dyDescent="0.25">
      <c r="A40" s="138"/>
      <c r="B40" s="22" t="s">
        <v>17</v>
      </c>
      <c r="C40" s="50">
        <f>C39-C$11</f>
        <v>0.665899789738986</v>
      </c>
      <c r="D40" s="94">
        <f>D39-D$11</f>
        <v>0.68973624308912185</v>
      </c>
      <c r="E40" s="51">
        <f>E39-E$11</f>
        <v>0.67043442837085099</v>
      </c>
      <c r="F40" s="51">
        <f t="shared" ref="F40:G40" si="30">F39-F$11</f>
        <v>0.88227834426644525</v>
      </c>
      <c r="G40" s="51">
        <f t="shared" si="30"/>
        <v>0.74023978973898596</v>
      </c>
      <c r="H40" s="51">
        <f t="shared" ref="H40" si="31">H39-H$11</f>
        <v>0.80445710905491841</v>
      </c>
      <c r="I40" s="51">
        <f t="shared" ref="I40" si="32">I39-I$11</f>
        <v>1.0840108705490719</v>
      </c>
      <c r="J40" s="51">
        <f t="shared" ref="J40" si="33">J39-J$11</f>
        <v>1.1154210249505128</v>
      </c>
      <c r="K40" s="51">
        <f t="shared" ref="K40" si="34">K39-K$11</f>
        <v>1.0709223652925466</v>
      </c>
      <c r="L40" s="51">
        <f t="shared" ref="L40" si="35">L39-L$11</f>
        <v>1.1130483652925465</v>
      </c>
      <c r="M40" s="51">
        <f t="shared" ref="M40" si="36">M39-M$11</f>
        <v>1.0080654375661737</v>
      </c>
      <c r="N40" s="51">
        <f t="shared" ref="N40" si="37">N39-N$11</f>
        <v>1.3308926517515993</v>
      </c>
      <c r="O40" s="51">
        <f t="shared" ref="O40" si="38">O39-O$11</f>
        <v>1.6452139093069551</v>
      </c>
      <c r="P40" s="51">
        <f t="shared" ref="P40" si="39">P39-P$11</f>
        <v>1.6471404288864333</v>
      </c>
      <c r="Q40" s="51">
        <f t="shared" ref="Q40" si="40">Q39-Q$11</f>
        <v>2.3418253481908566</v>
      </c>
      <c r="R40" s="52">
        <f>R39-R$11</f>
        <v>3.1468091589559437</v>
      </c>
    </row>
    <row r="41" spans="1:18" x14ac:dyDescent="0.25">
      <c r="A41" s="138"/>
      <c r="B41" s="46" t="s">
        <v>15</v>
      </c>
      <c r="C41" s="47">
        <f>IF(C40&gt;0,C$13/C40,"N/A")</f>
        <v>795.91555391201598</v>
      </c>
      <c r="D41" s="95">
        <f>IF(D40&gt;0,D$13/D40,"N/A")</f>
        <v>797.40626291684327</v>
      </c>
      <c r="E41" s="48">
        <f>IF(E40&gt;0,E$13/E40,"N/A")</f>
        <v>820.36359817692323</v>
      </c>
      <c r="F41" s="48">
        <f t="shared" ref="F41:G41" si="41">IF(F40&gt;0,F$13/F40,"N/A")</f>
        <v>963.41478346804206</v>
      </c>
      <c r="G41" s="48">
        <f t="shared" si="41"/>
        <v>878.09384068532006</v>
      </c>
      <c r="H41" s="48">
        <f t="shared" ref="H41" si="42">IF(H40&gt;0,H$13/H40,"N/A")</f>
        <v>932.3057644193176</v>
      </c>
      <c r="I41" s="48">
        <f t="shared" ref="I41" si="43">IF(I40&gt;0,I$13/I40,"N/A")</f>
        <v>784.12497798057973</v>
      </c>
      <c r="J41" s="48">
        <f t="shared" ref="J41" si="44">IF(J40&gt;0,J$13/J40,"N/A")</f>
        <v>806.87021301210439</v>
      </c>
      <c r="K41" s="48">
        <f t="shared" ref="K41" si="45">IF(K40&gt;0,K$13/K40,"N/A")</f>
        <v>887.08577837991652</v>
      </c>
      <c r="L41" s="48">
        <f t="shared" ref="L41" si="46">IF(L40&gt;0,L$13/L40,"N/A")</f>
        <v>853.51187749178189</v>
      </c>
      <c r="M41" s="48">
        <f t="shared" ref="M41" si="47">IF(M40&gt;0,M$13/M40,"N/A")</f>
        <v>1091.1990025724806</v>
      </c>
      <c r="N41" s="48">
        <f t="shared" ref="N41" si="48">IF(N40&gt;0,N$13/N40,"N/A")</f>
        <v>901.65048129213847</v>
      </c>
      <c r="O41" s="48">
        <f t="shared" ref="O41" si="49">IF(O40&gt;0,O$13/O40,"N/A")</f>
        <v>911.73554485196007</v>
      </c>
      <c r="P41" s="48">
        <f t="shared" ref="P41" si="50">IF(P40&gt;0,P$13/P40,"N/A")</f>
        <v>1062.4473598666423</v>
      </c>
      <c r="Q41" s="48">
        <f t="shared" ref="Q41" si="51">IF(Q40&gt;0,Q$13/Q40,"N/A")</f>
        <v>1003.490717963002</v>
      </c>
      <c r="R41" s="49">
        <f>IF(R40&gt;0,R$13/R40,"N/A")</f>
        <v>1112.2377695002131</v>
      </c>
    </row>
    <row r="42" spans="1:18" ht="15.75" thickBot="1" x14ac:dyDescent="0.3">
      <c r="A42" s="138"/>
      <c r="B42" s="53" t="s">
        <v>16</v>
      </c>
      <c r="C42" s="12">
        <f>IFERROR(C40*365/C$13,"N/A")</f>
        <v>0.45859136463156586</v>
      </c>
      <c r="D42" s="97">
        <f t="shared" ref="D42:R42" si="52">IFERROR(D40*365/D$13,"N/A")</f>
        <v>0.4577340522318718</v>
      </c>
      <c r="E42" s="13">
        <f t="shared" si="52"/>
        <v>0.44492466610065562</v>
      </c>
      <c r="F42" s="13">
        <f t="shared" si="52"/>
        <v>0.37886070077323825</v>
      </c>
      <c r="G42" s="13">
        <f t="shared" si="52"/>
        <v>0.4156731126995844</v>
      </c>
      <c r="H42" s="13">
        <f t="shared" si="52"/>
        <v>0.39150245974006026</v>
      </c>
      <c r="I42" s="13">
        <f t="shared" si="52"/>
        <v>0.46548702088283678</v>
      </c>
      <c r="J42" s="13">
        <f t="shared" si="52"/>
        <v>0.45236519345215243</v>
      </c>
      <c r="K42" s="13">
        <f t="shared" si="52"/>
        <v>0.4114596456123995</v>
      </c>
      <c r="L42" s="13">
        <f t="shared" si="52"/>
        <v>0.42764489824397839</v>
      </c>
      <c r="M42" s="13">
        <f t="shared" si="52"/>
        <v>0.33449444064695766</v>
      </c>
      <c r="N42" s="13">
        <f t="shared" si="52"/>
        <v>0.40481318157444479</v>
      </c>
      <c r="O42" s="13">
        <f t="shared" si="52"/>
        <v>0.4003353845980257</v>
      </c>
      <c r="P42" s="13">
        <f t="shared" si="52"/>
        <v>0.34354643231059895</v>
      </c>
      <c r="Q42" s="13">
        <f t="shared" si="52"/>
        <v>0.36373032003815431</v>
      </c>
      <c r="R42" s="14">
        <f t="shared" si="52"/>
        <v>0.32816724086254845</v>
      </c>
    </row>
    <row r="43" spans="1:18" ht="74.25" customHeight="1" thickBot="1" x14ac:dyDescent="0.3">
      <c r="A43" s="139"/>
      <c r="B43" s="140" t="s">
        <v>37</v>
      </c>
      <c r="C43" s="141"/>
      <c r="D43" s="141"/>
      <c r="E43" s="141"/>
      <c r="F43" s="141"/>
      <c r="G43" s="141"/>
      <c r="H43" s="141"/>
      <c r="I43" s="141"/>
      <c r="J43" s="141"/>
      <c r="K43" s="141"/>
      <c r="L43" s="141"/>
      <c r="M43" s="141"/>
      <c r="N43" s="141"/>
      <c r="O43" s="141"/>
      <c r="P43" s="141"/>
      <c r="Q43" s="141"/>
      <c r="R43" s="142"/>
    </row>
    <row r="44" spans="1:18" x14ac:dyDescent="0.25"/>
  </sheetData>
  <mergeCells count="22"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  <mergeCell ref="A37:A43"/>
    <mergeCell ref="B43:R43"/>
    <mergeCell ref="B35:R35"/>
    <mergeCell ref="A29:A35"/>
    <mergeCell ref="A21:A27"/>
    <mergeCell ref="B27:R27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R4" sqref="R4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43" t="s">
        <v>75</v>
      </c>
      <c r="B1" s="143"/>
      <c r="C1" s="143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</row>
    <row r="2" spans="1:20" x14ac:dyDescent="0.25">
      <c r="A2" s="158" t="s">
        <v>44</v>
      </c>
      <c r="B2" s="158"/>
      <c r="C2" s="129">
        <f>'Card Data'!$B$2</f>
        <v>44446</v>
      </c>
      <c r="D2" s="130"/>
      <c r="O2" s="157" t="s">
        <v>49</v>
      </c>
      <c r="P2" s="157"/>
      <c r="Q2" s="157"/>
      <c r="R2" s="157"/>
    </row>
    <row r="3" spans="1:20" ht="15.75" thickBot="1" x14ac:dyDescent="0.3"/>
    <row r="4" spans="1:20" ht="15.75" thickBot="1" x14ac:dyDescent="0.3">
      <c r="A4" s="137" t="s">
        <v>32</v>
      </c>
      <c r="B4" s="153" t="s">
        <v>56</v>
      </c>
      <c r="C4" s="154"/>
      <c r="D4" s="59">
        <f>'Electricity Calculations'!$F$5</f>
        <v>10.324999999999999</v>
      </c>
      <c r="E4" s="1"/>
      <c r="F4" s="153" t="s">
        <v>50</v>
      </c>
      <c r="G4" s="154"/>
      <c r="H4" s="57">
        <f>'Card Data'!$C$5</f>
        <v>4356.16</v>
      </c>
      <c r="I4" s="1"/>
      <c r="J4" s="153" t="s">
        <v>113</v>
      </c>
      <c r="K4" s="154"/>
      <c r="L4" s="57">
        <f>'Card Data'!$C$7</f>
        <v>6459</v>
      </c>
      <c r="N4" s="135" t="s">
        <v>48</v>
      </c>
      <c r="O4" s="136"/>
      <c r="P4" s="155">
        <f>$L$4*$L$5*$H$4/$D$5/10000</f>
        <v>9.3015807875139203</v>
      </c>
    </row>
    <row r="5" spans="1:20" ht="15.75" thickBot="1" x14ac:dyDescent="0.3">
      <c r="A5" s="138"/>
      <c r="B5" s="153" t="s">
        <v>46</v>
      </c>
      <c r="C5" s="154"/>
      <c r="D5" s="58">
        <f>'Card Data'!$C$4</f>
        <v>686.84500000000003</v>
      </c>
      <c r="E5" s="1"/>
      <c r="F5" s="153" t="s">
        <v>112</v>
      </c>
      <c r="G5" s="154"/>
      <c r="H5" s="57">
        <f>'Card Data'!$C$6</f>
        <v>14666</v>
      </c>
      <c r="I5" s="1"/>
      <c r="J5" s="153" t="s">
        <v>39</v>
      </c>
      <c r="K5" s="154"/>
      <c r="L5" s="59">
        <f>$H$5/$L$4</f>
        <v>2.2706301285028641</v>
      </c>
      <c r="N5" s="159"/>
      <c r="O5" s="160"/>
      <c r="P5" s="156"/>
    </row>
    <row r="6" spans="1:20" ht="15.75" thickBot="1" x14ac:dyDescent="0.3">
      <c r="A6" s="138"/>
    </row>
    <row r="7" spans="1:20" ht="15.75" thickBot="1" x14ac:dyDescent="0.3">
      <c r="A7" s="138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71</v>
      </c>
      <c r="I7" s="10" t="s">
        <v>70</v>
      </c>
      <c r="J7" s="10">
        <v>5700</v>
      </c>
      <c r="K7" s="10" t="s">
        <v>65</v>
      </c>
      <c r="L7" s="10" t="s">
        <v>67</v>
      </c>
      <c r="M7" s="10">
        <v>6800</v>
      </c>
      <c r="N7" s="10" t="s">
        <v>68</v>
      </c>
      <c r="O7" s="10" t="s">
        <v>72</v>
      </c>
      <c r="P7" s="10" t="s">
        <v>73</v>
      </c>
      <c r="Q7" s="10" t="s">
        <v>69</v>
      </c>
      <c r="R7" s="11" t="s">
        <v>66</v>
      </c>
    </row>
    <row r="8" spans="1:20" x14ac:dyDescent="0.25">
      <c r="A8" s="138"/>
      <c r="B8" s="26" t="s">
        <v>51</v>
      </c>
      <c r="C8" s="61">
        <f t="shared" ref="C8:R8" si="0">$P$4*C9/100</f>
        <v>2.8276805594042314</v>
      </c>
      <c r="D8" s="83">
        <f t="shared" si="0"/>
        <v>2.8276805594042314</v>
      </c>
      <c r="E8" s="27">
        <f t="shared" si="0"/>
        <v>2.8369821401917452</v>
      </c>
      <c r="F8" s="27">
        <f t="shared" si="0"/>
        <v>2.911394786491857</v>
      </c>
      <c r="G8" s="27">
        <f t="shared" si="0"/>
        <v>2.8648868825542877</v>
      </c>
      <c r="H8" s="27">
        <f t="shared" si="0"/>
        <v>2.4184110047536196</v>
      </c>
      <c r="I8" s="27">
        <f t="shared" si="0"/>
        <v>3.4415848913801508</v>
      </c>
      <c r="J8" s="27">
        <f t="shared" si="0"/>
        <v>4.9763457213199471</v>
      </c>
      <c r="K8" s="27">
        <f t="shared" si="0"/>
        <v>5.0879646907701144</v>
      </c>
      <c r="L8" s="27">
        <f t="shared" si="0"/>
        <v>4.3717429701315424</v>
      </c>
      <c r="M8" s="27">
        <f t="shared" si="0"/>
        <v>5.8972022192838258</v>
      </c>
      <c r="N8" s="27">
        <f t="shared" si="0"/>
        <v>5.9902180271589653</v>
      </c>
      <c r="O8" s="27">
        <f t="shared" si="0"/>
        <v>5.953011704008909</v>
      </c>
      <c r="P8" s="27">
        <f t="shared" si="0"/>
        <v>3.5904101839803735</v>
      </c>
      <c r="Q8" s="27">
        <f t="shared" si="0"/>
        <v>4.3717429701315424</v>
      </c>
      <c r="R8" s="28">
        <f t="shared" si="0"/>
        <v>8.417930612700097</v>
      </c>
    </row>
    <row r="9" spans="1:20" x14ac:dyDescent="0.25">
      <c r="A9" s="138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8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8"/>
      <c r="B11" s="15" t="s">
        <v>55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8"/>
      <c r="B12" s="29" t="s">
        <v>52</v>
      </c>
      <c r="C12" s="33">
        <f t="shared" ref="C12:R12" si="2">C8-C11</f>
        <v>2.5303205594042315</v>
      </c>
      <c r="D12" s="87">
        <f t="shared" si="2"/>
        <v>2.5055405594042313</v>
      </c>
      <c r="E12" s="34">
        <f t="shared" si="2"/>
        <v>2.5148421401917451</v>
      </c>
      <c r="F12" s="34">
        <f t="shared" si="2"/>
        <v>2.5892547864918569</v>
      </c>
      <c r="G12" s="34">
        <f t="shared" si="2"/>
        <v>2.5427468825542876</v>
      </c>
      <c r="H12" s="34">
        <f>H8-H11</f>
        <v>2.2449510047536196</v>
      </c>
      <c r="I12" s="34">
        <f t="shared" si="2"/>
        <v>3.193784891380151</v>
      </c>
      <c r="J12" s="34">
        <f t="shared" si="2"/>
        <v>4.5798657213199476</v>
      </c>
      <c r="K12" s="34">
        <f t="shared" si="2"/>
        <v>4.7410446907701145</v>
      </c>
      <c r="L12" s="34">
        <f t="shared" si="2"/>
        <v>3.9504829701315423</v>
      </c>
      <c r="M12" s="34">
        <f t="shared" si="2"/>
        <v>5.4635522192838257</v>
      </c>
      <c r="N12" s="34">
        <f t="shared" si="2"/>
        <v>5.5193980271589655</v>
      </c>
      <c r="O12" s="34">
        <f t="shared" si="2"/>
        <v>5.4078517040089089</v>
      </c>
      <c r="P12" s="34">
        <f t="shared" si="2"/>
        <v>3.0576401839803733</v>
      </c>
      <c r="Q12" s="34">
        <f t="shared" si="2"/>
        <v>3.8265829701315424</v>
      </c>
      <c r="R12" s="35">
        <f t="shared" si="2"/>
        <v>7.8727706127000969</v>
      </c>
    </row>
    <row r="13" spans="1:20" ht="17.25" x14ac:dyDescent="0.25">
      <c r="A13" s="138"/>
      <c r="B13" s="15" t="s">
        <v>53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800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1600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8"/>
      <c r="B14" s="29" t="s">
        <v>59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8"/>
      <c r="B15" s="15" t="s">
        <v>54</v>
      </c>
      <c r="C15" s="39">
        <f t="shared" ref="C15:R15" si="4">C13/C12</f>
        <v>197.60342148811608</v>
      </c>
      <c r="D15" s="90">
        <f t="shared" si="4"/>
        <v>199.55773540496597</v>
      </c>
      <c r="E15" s="40">
        <f t="shared" si="4"/>
        <v>198.81963643327421</v>
      </c>
      <c r="F15" s="40">
        <f t="shared" si="4"/>
        <v>193.10575483281914</v>
      </c>
      <c r="G15" s="40">
        <f t="shared" si="4"/>
        <v>196.63773985153043</v>
      </c>
      <c r="H15" s="40">
        <f t="shared" si="4"/>
        <v>222.72200994198283</v>
      </c>
      <c r="I15" s="40">
        <f t="shared" si="4"/>
        <v>203.52028145487009</v>
      </c>
      <c r="J15" s="40">
        <f t="shared" si="4"/>
        <v>196.512311662407</v>
      </c>
      <c r="K15" s="40">
        <f t="shared" si="4"/>
        <v>200.37777788711082</v>
      </c>
      <c r="L15" s="40">
        <f t="shared" si="4"/>
        <v>202.50688486662727</v>
      </c>
      <c r="M15" s="40">
        <f t="shared" si="4"/>
        <v>237.94043651886369</v>
      </c>
      <c r="N15" s="40">
        <f t="shared" si="4"/>
        <v>308.00460333444221</v>
      </c>
      <c r="O15" s="40">
        <f t="shared" si="4"/>
        <v>295.86610128637585</v>
      </c>
      <c r="P15" s="40">
        <f t="shared" si="4"/>
        <v>228.93472020267419</v>
      </c>
      <c r="Q15" s="40">
        <f t="shared" si="4"/>
        <v>222.13029395538769</v>
      </c>
      <c r="R15" s="41">
        <f t="shared" si="4"/>
        <v>266.74218052439488</v>
      </c>
    </row>
    <row r="16" spans="1:20" ht="18" thickBot="1" x14ac:dyDescent="0.3">
      <c r="A16" s="139"/>
      <c r="B16" s="8" t="s">
        <v>40</v>
      </c>
      <c r="C16" s="36">
        <f>IFERROR(C12*365/C13,"N/A")</f>
        <v>1.8471340083650889</v>
      </c>
      <c r="D16" s="91">
        <f t="shared" ref="D16:R16" si="5">IFERROR(D12*365/D13,"N/A")</f>
        <v>1.8290446083650889</v>
      </c>
      <c r="E16" s="37">
        <f t="shared" si="5"/>
        <v>1.8358347623399738</v>
      </c>
      <c r="F16" s="37">
        <f t="shared" si="5"/>
        <v>1.8901559941390556</v>
      </c>
      <c r="G16" s="37">
        <f t="shared" si="5"/>
        <v>1.8562052242646301</v>
      </c>
      <c r="H16" s="37">
        <f t="shared" si="5"/>
        <v>1.6388142334701423</v>
      </c>
      <c r="I16" s="37">
        <f t="shared" si="5"/>
        <v>1.7934330543903925</v>
      </c>
      <c r="J16" s="37">
        <f t="shared" si="5"/>
        <v>1.8573899869797565</v>
      </c>
      <c r="K16" s="37">
        <f t="shared" si="5"/>
        <v>1.821559275927465</v>
      </c>
      <c r="L16" s="37">
        <f t="shared" si="5"/>
        <v>1.8024078551225162</v>
      </c>
      <c r="M16" s="37">
        <f t="shared" si="5"/>
        <v>1.5339973538758434</v>
      </c>
      <c r="N16" s="37">
        <f t="shared" si="5"/>
        <v>1.1850472234782485</v>
      </c>
      <c r="O16" s="37">
        <f t="shared" si="5"/>
        <v>1.2336661699770324</v>
      </c>
      <c r="P16" s="37">
        <f t="shared" si="5"/>
        <v>1.5943409530754804</v>
      </c>
      <c r="Q16" s="37">
        <f t="shared" si="5"/>
        <v>1.6431797459976623</v>
      </c>
      <c r="R16" s="38">
        <f t="shared" si="5"/>
        <v>1.3683625112550168</v>
      </c>
    </row>
    <row r="17" spans="1:18" ht="15.75" thickBot="1" x14ac:dyDescent="0.3"/>
    <row r="18" spans="1:18" ht="15.75" thickBot="1" x14ac:dyDescent="0.3">
      <c r="A18" s="137" t="s">
        <v>18</v>
      </c>
      <c r="B18" s="108" t="s">
        <v>33</v>
      </c>
      <c r="C18" s="60">
        <f>1-2/$L$5</f>
        <v>0.11918723578344459</v>
      </c>
      <c r="D18" s="92"/>
    </row>
    <row r="19" spans="1:18" ht="15.75" customHeight="1" thickBot="1" x14ac:dyDescent="0.3">
      <c r="A19" s="138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8"/>
      <c r="B20" s="42" t="s">
        <v>35</v>
      </c>
      <c r="C20" s="43">
        <f t="shared" ref="C20:R20" si="7">C$8*(1-$C$18)</f>
        <v>2.4906571298502569</v>
      </c>
      <c r="D20" s="93">
        <f t="shared" si="7"/>
        <v>2.4906571298502569</v>
      </c>
      <c r="E20" s="44">
        <f t="shared" si="7"/>
        <v>2.4988500809352905</v>
      </c>
      <c r="F20" s="44">
        <f t="shared" si="7"/>
        <v>2.5643936896155606</v>
      </c>
      <c r="G20" s="44">
        <f t="shared" si="7"/>
        <v>2.5234289341903922</v>
      </c>
      <c r="H20" s="44">
        <f t="shared" si="7"/>
        <v>2.1301672821087729</v>
      </c>
      <c r="I20" s="44">
        <f t="shared" si="7"/>
        <v>3.0313919014624844</v>
      </c>
      <c r="J20" s="44">
        <f t="shared" si="7"/>
        <v>4.3832288304930511</v>
      </c>
      <c r="K20" s="44">
        <f t="shared" si="7"/>
        <v>4.481544243513456</v>
      </c>
      <c r="L20" s="44">
        <f t="shared" si="7"/>
        <v>3.8506870099658581</v>
      </c>
      <c r="M20" s="44">
        <f t="shared" si="7"/>
        <v>5.1943309879113917</v>
      </c>
      <c r="N20" s="44">
        <f t="shared" si="7"/>
        <v>5.2762604987617294</v>
      </c>
      <c r="O20" s="44">
        <f t="shared" si="7"/>
        <v>5.2434886944215942</v>
      </c>
      <c r="P20" s="44">
        <f t="shared" si="7"/>
        <v>3.1624791188230241</v>
      </c>
      <c r="Q20" s="44">
        <f t="shared" si="7"/>
        <v>3.8506870099658581</v>
      </c>
      <c r="R20" s="45">
        <f t="shared" si="7"/>
        <v>7.4146207319555346</v>
      </c>
    </row>
    <row r="21" spans="1:18" x14ac:dyDescent="0.25">
      <c r="A21" s="138"/>
      <c r="B21" s="22" t="s">
        <v>17</v>
      </c>
      <c r="C21" s="50">
        <f t="shared" ref="C21:R21" si="8">C20-C$11</f>
        <v>2.193297129850257</v>
      </c>
      <c r="D21" s="94">
        <f t="shared" si="8"/>
        <v>2.1685171298502568</v>
      </c>
      <c r="E21" s="51">
        <f t="shared" si="8"/>
        <v>2.1767100809352904</v>
      </c>
      <c r="F21" s="51">
        <f t="shared" si="8"/>
        <v>2.2422536896155605</v>
      </c>
      <c r="G21" s="51">
        <f t="shared" si="8"/>
        <v>2.2012889341903921</v>
      </c>
      <c r="H21" s="51">
        <f t="shared" si="8"/>
        <v>1.956707282108773</v>
      </c>
      <c r="I21" s="51">
        <f t="shared" si="8"/>
        <v>2.7835919014624846</v>
      </c>
      <c r="J21" s="51">
        <f t="shared" si="8"/>
        <v>3.9867488304930512</v>
      </c>
      <c r="K21" s="51">
        <f t="shared" si="8"/>
        <v>4.1346242435134561</v>
      </c>
      <c r="L21" s="51">
        <f t="shared" si="8"/>
        <v>3.4294270099658579</v>
      </c>
      <c r="M21" s="51">
        <f t="shared" si="8"/>
        <v>4.7606809879113916</v>
      </c>
      <c r="N21" s="51">
        <f t="shared" si="8"/>
        <v>4.8054404987617296</v>
      </c>
      <c r="O21" s="51">
        <f t="shared" si="8"/>
        <v>4.6983286944215941</v>
      </c>
      <c r="P21" s="51">
        <f t="shared" si="8"/>
        <v>2.6297091188230244</v>
      </c>
      <c r="Q21" s="51">
        <f t="shared" si="8"/>
        <v>3.305527009965858</v>
      </c>
      <c r="R21" s="52">
        <f t="shared" si="8"/>
        <v>6.8694607319555345</v>
      </c>
    </row>
    <row r="22" spans="1:18" x14ac:dyDescent="0.25">
      <c r="A22" s="138"/>
      <c r="B22" s="46" t="s">
        <v>15</v>
      </c>
      <c r="C22" s="47">
        <f t="shared" ref="C22:R22" si="9">IF(C21&gt;0,C$13/C21,"N/A")</f>
        <v>227.96728869751291</v>
      </c>
      <c r="D22" s="95">
        <f t="shared" si="9"/>
        <v>230.57230819962516</v>
      </c>
      <c r="E22" s="48">
        <f t="shared" si="9"/>
        <v>229.70445369792179</v>
      </c>
      <c r="F22" s="48">
        <f t="shared" si="9"/>
        <v>222.98993299269637</v>
      </c>
      <c r="G22" s="48">
        <f t="shared" si="9"/>
        <v>227.13965088090268</v>
      </c>
      <c r="H22" s="48">
        <f t="shared" si="9"/>
        <v>255.531322733742</v>
      </c>
      <c r="I22" s="48">
        <f t="shared" si="9"/>
        <v>233.51124123421016</v>
      </c>
      <c r="J22" s="48">
        <f t="shared" si="9"/>
        <v>225.74785577567843</v>
      </c>
      <c r="K22" s="48">
        <f t="shared" si="9"/>
        <v>229.76694955784515</v>
      </c>
      <c r="L22" s="48">
        <f t="shared" si="9"/>
        <v>233.27512079283602</v>
      </c>
      <c r="M22" s="48">
        <f t="shared" si="9"/>
        <v>273.0701769980048</v>
      </c>
      <c r="N22" s="48">
        <f t="shared" si="9"/>
        <v>353.76569545248924</v>
      </c>
      <c r="O22" s="48">
        <f t="shared" si="9"/>
        <v>340.54662925131385</v>
      </c>
      <c r="P22" s="48">
        <f t="shared" si="9"/>
        <v>266.1891366575548</v>
      </c>
      <c r="Q22" s="48">
        <f t="shared" si="9"/>
        <v>257.14507775532576</v>
      </c>
      <c r="R22" s="49">
        <f t="shared" si="9"/>
        <v>305.7008522126294</v>
      </c>
    </row>
    <row r="23" spans="1:18" ht="15.75" thickBot="1" x14ac:dyDescent="0.3">
      <c r="A23" s="139"/>
      <c r="B23" s="53" t="s">
        <v>16</v>
      </c>
      <c r="C23" s="54">
        <f>IFERROR(C21*365/C$13,"N/A")</f>
        <v>1.6011069047906876</v>
      </c>
      <c r="D23" s="96">
        <f t="shared" ref="D23:R23" si="10">IFERROR(D21*365/D$13,"N/A")</f>
        <v>1.5830175047906876</v>
      </c>
      <c r="E23" s="55">
        <f t="shared" si="10"/>
        <v>1.5889983590827619</v>
      </c>
      <c r="F23" s="55">
        <f t="shared" si="10"/>
        <v>1.6368451934193593</v>
      </c>
      <c r="G23" s="55">
        <f t="shared" si="10"/>
        <v>1.6069409219589861</v>
      </c>
      <c r="H23" s="55">
        <f t="shared" si="10"/>
        <v>1.4283963159394042</v>
      </c>
      <c r="I23" s="55">
        <f t="shared" si="10"/>
        <v>1.5630939138981645</v>
      </c>
      <c r="J23" s="55">
        <f t="shared" si="10"/>
        <v>1.6168481368110708</v>
      </c>
      <c r="K23" s="55">
        <f t="shared" si="10"/>
        <v>1.5885661567183278</v>
      </c>
      <c r="L23" s="55">
        <f t="shared" si="10"/>
        <v>1.5646760732969227</v>
      </c>
      <c r="M23" s="55">
        <f t="shared" si="10"/>
        <v>1.3366527389135832</v>
      </c>
      <c r="N23" s="55">
        <f t="shared" si="10"/>
        <v>1.0317563423811948</v>
      </c>
      <c r="O23" s="55">
        <f t="shared" si="10"/>
        <v>1.0718062334149261</v>
      </c>
      <c r="P23" s="55">
        <f t="shared" si="10"/>
        <v>1.3712054691005771</v>
      </c>
      <c r="Q23" s="55">
        <f t="shared" si="10"/>
        <v>1.4194321866323978</v>
      </c>
      <c r="R23" s="56">
        <f t="shared" si="10"/>
        <v>1.1939776986494144</v>
      </c>
    </row>
    <row r="24" spans="1:18" ht="15.75" thickBot="1" x14ac:dyDescent="0.3"/>
    <row r="25" spans="1:18" ht="15.75" thickBot="1" x14ac:dyDescent="0.3">
      <c r="A25" s="137" t="s">
        <v>76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8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8"/>
      <c r="B27" s="42" t="s">
        <v>35</v>
      </c>
      <c r="C27" s="43">
        <f t="shared" ref="C27:R27" si="12">C$8*(1-$C$25)</f>
        <v>0.1670444743277946</v>
      </c>
      <c r="D27" s="93">
        <f t="shared" si="12"/>
        <v>0.1670444743277946</v>
      </c>
      <c r="E27" s="44">
        <f t="shared" si="12"/>
        <v>0.16759396273018867</v>
      </c>
      <c r="F27" s="44">
        <f t="shared" si="12"/>
        <v>0.17198986994934118</v>
      </c>
      <c r="G27" s="44">
        <f t="shared" si="12"/>
        <v>0.16924242793737088</v>
      </c>
      <c r="H27" s="44">
        <f t="shared" si="12"/>
        <v>0.14286698462245595</v>
      </c>
      <c r="I27" s="44">
        <f t="shared" si="12"/>
        <v>0.20331070888580269</v>
      </c>
      <c r="J27" s="44">
        <f t="shared" si="12"/>
        <v>0.29397629528082275</v>
      </c>
      <c r="K27" s="44">
        <f t="shared" si="12"/>
        <v>0.30057015610955151</v>
      </c>
      <c r="L27" s="44">
        <f t="shared" si="12"/>
        <v>0.25825954912520882</v>
      </c>
      <c r="M27" s="44">
        <f t="shared" si="12"/>
        <v>0.34837564711783486</v>
      </c>
      <c r="N27" s="44">
        <f t="shared" si="12"/>
        <v>0.35387053114177552</v>
      </c>
      <c r="O27" s="44">
        <f t="shared" si="12"/>
        <v>0.35167257753219922</v>
      </c>
      <c r="P27" s="44">
        <f t="shared" si="12"/>
        <v>0.21210252332410767</v>
      </c>
      <c r="Q27" s="44">
        <f t="shared" si="12"/>
        <v>0.25825954912520882</v>
      </c>
      <c r="R27" s="45">
        <f t="shared" si="12"/>
        <v>0.49728700416662541</v>
      </c>
    </row>
    <row r="28" spans="1:18" x14ac:dyDescent="0.25">
      <c r="A28" s="138"/>
      <c r="B28" s="22" t="s">
        <v>17</v>
      </c>
      <c r="C28" s="50">
        <f t="shared" ref="C28:R28" si="13">C27-C$11</f>
        <v>-0.13031552567220536</v>
      </c>
      <c r="D28" s="94">
        <f t="shared" si="13"/>
        <v>-0.15509552567220539</v>
      </c>
      <c r="E28" s="51">
        <f t="shared" si="13"/>
        <v>-0.15454603726981131</v>
      </c>
      <c r="F28" s="51">
        <f t="shared" si="13"/>
        <v>-0.1501501300506588</v>
      </c>
      <c r="G28" s="51">
        <f t="shared" si="13"/>
        <v>-0.15289757206262911</v>
      </c>
      <c r="H28" s="51">
        <f t="shared" si="13"/>
        <v>-3.0593015377544025E-2</v>
      </c>
      <c r="I28" s="51">
        <f t="shared" si="13"/>
        <v>-4.4489291114197277E-2</v>
      </c>
      <c r="J28" s="51">
        <f t="shared" si="13"/>
        <v>-0.10250370471917719</v>
      </c>
      <c r="K28" s="51">
        <f t="shared" si="13"/>
        <v>-4.6349843890448439E-2</v>
      </c>
      <c r="L28" s="51">
        <f t="shared" si="13"/>
        <v>-0.16300045087479115</v>
      </c>
      <c r="M28" s="51">
        <f t="shared" si="13"/>
        <v>-8.5274352882165172E-2</v>
      </c>
      <c r="N28" s="51">
        <f t="shared" si="13"/>
        <v>-0.11694946885822444</v>
      </c>
      <c r="O28" s="51">
        <f t="shared" si="13"/>
        <v>-0.19348742246780076</v>
      </c>
      <c r="P28" s="51">
        <f t="shared" si="13"/>
        <v>-0.32066747667589229</v>
      </c>
      <c r="Q28" s="51">
        <f t="shared" si="13"/>
        <v>-0.28690045087479116</v>
      </c>
      <c r="R28" s="52">
        <f t="shared" si="13"/>
        <v>-4.7872995833374565E-2</v>
      </c>
    </row>
    <row r="29" spans="1:18" x14ac:dyDescent="0.25">
      <c r="A29" s="138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9"/>
      <c r="B30" s="53" t="s">
        <v>16</v>
      </c>
      <c r="C30" s="54">
        <f>IFERROR(C28*365/C$13,"N/A")</f>
        <v>-9.5130333740709921E-2</v>
      </c>
      <c r="D30" s="96">
        <f t="shared" ref="D30:R30" si="15">IFERROR(D28*365/D$13,"N/A")</f>
        <v>-0.11321973374070993</v>
      </c>
      <c r="E30" s="55">
        <f t="shared" si="15"/>
        <v>-0.11281860720696225</v>
      </c>
      <c r="F30" s="55">
        <f t="shared" si="15"/>
        <v>-0.10960959493698093</v>
      </c>
      <c r="G30" s="55">
        <f t="shared" si="15"/>
        <v>-0.11161522760571924</v>
      </c>
      <c r="H30" s="55">
        <f t="shared" si="15"/>
        <v>-2.2332901225607139E-2</v>
      </c>
      <c r="I30" s="55">
        <f t="shared" si="15"/>
        <v>-2.4982448087203086E-2</v>
      </c>
      <c r="J30" s="55">
        <f t="shared" si="15"/>
        <v>-4.1570946913888532E-2</v>
      </c>
      <c r="K30" s="55">
        <f t="shared" si="15"/>
        <v>-1.7808097915803872E-2</v>
      </c>
      <c r="L30" s="55">
        <f t="shared" si="15"/>
        <v>-7.4368955711623455E-2</v>
      </c>
      <c r="M30" s="55">
        <f t="shared" si="15"/>
        <v>-2.3942414463069453E-2</v>
      </c>
      <c r="N30" s="55">
        <f t="shared" si="15"/>
        <v>-2.5109738901912895E-2</v>
      </c>
      <c r="O30" s="55">
        <f t="shared" si="15"/>
        <v>-4.4139318250467047E-2</v>
      </c>
      <c r="P30" s="55">
        <f t="shared" si="15"/>
        <v>-0.16720518426671527</v>
      </c>
      <c r="Q30" s="55">
        <f t="shared" si="15"/>
        <v>-0.12319842890505737</v>
      </c>
      <c r="R30" s="56">
        <f t="shared" si="15"/>
        <v>-8.3207826091341516E-3</v>
      </c>
    </row>
    <row r="31" spans="1:18" ht="15.75" thickBot="1" x14ac:dyDescent="0.3"/>
    <row r="32" spans="1:18" ht="15.75" thickBot="1" x14ac:dyDescent="0.3">
      <c r="A32" s="137" t="s">
        <v>77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8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8"/>
      <c r="B34" s="42" t="s">
        <v>35</v>
      </c>
      <c r="C34" s="43">
        <f t="shared" ref="C34:R34" si="17">C$8*(1-$C$32)</f>
        <v>0.97610325360217243</v>
      </c>
      <c r="D34" s="93">
        <f t="shared" si="17"/>
        <v>0.97610325360217243</v>
      </c>
      <c r="E34" s="44">
        <f t="shared" si="17"/>
        <v>0.97931411956796899</v>
      </c>
      <c r="F34" s="44">
        <f t="shared" si="17"/>
        <v>1.005001047294342</v>
      </c>
      <c r="G34" s="44">
        <f t="shared" si="17"/>
        <v>0.98894671746535912</v>
      </c>
      <c r="H34" s="44">
        <f t="shared" si="17"/>
        <v>0.8348251511071213</v>
      </c>
      <c r="I34" s="44">
        <f t="shared" si="17"/>
        <v>1.1880204073447496</v>
      </c>
      <c r="J34" s="44">
        <f t="shared" si="17"/>
        <v>1.7178132917011917</v>
      </c>
      <c r="K34" s="44">
        <f t="shared" si="17"/>
        <v>1.7563436832907513</v>
      </c>
      <c r="L34" s="44">
        <f t="shared" si="17"/>
        <v>1.5091070039244114</v>
      </c>
      <c r="M34" s="44">
        <f t="shared" si="17"/>
        <v>2.0356890223150574</v>
      </c>
      <c r="N34" s="44">
        <f t="shared" si="17"/>
        <v>2.0677976819730235</v>
      </c>
      <c r="O34" s="44">
        <f t="shared" si="17"/>
        <v>2.0549542181098368</v>
      </c>
      <c r="P34" s="44">
        <f t="shared" si="17"/>
        <v>1.2393942627974954</v>
      </c>
      <c r="Q34" s="44">
        <f t="shared" si="17"/>
        <v>1.5091070039244114</v>
      </c>
      <c r="R34" s="45">
        <f t="shared" si="17"/>
        <v>2.905833699045941</v>
      </c>
    </row>
    <row r="35" spans="1:18" x14ac:dyDescent="0.25">
      <c r="A35" s="138"/>
      <c r="B35" s="22" t="s">
        <v>17</v>
      </c>
      <c r="C35" s="50">
        <f>C34-C$11</f>
        <v>0.67874325360217247</v>
      </c>
      <c r="D35" s="94">
        <f>D34-D$11</f>
        <v>0.65396325360217245</v>
      </c>
      <c r="E35" s="51">
        <f>E34-E$11</f>
        <v>0.65717411956796901</v>
      </c>
      <c r="F35" s="51">
        <f t="shared" ref="F35:Q35" si="18">F34-F$11</f>
        <v>0.68286104729434205</v>
      </c>
      <c r="G35" s="51">
        <f t="shared" si="18"/>
        <v>0.66680671746535913</v>
      </c>
      <c r="H35" s="51">
        <f t="shared" si="18"/>
        <v>0.66136515110712135</v>
      </c>
      <c r="I35" s="51">
        <f t="shared" si="18"/>
        <v>0.94022040734474954</v>
      </c>
      <c r="J35" s="51">
        <f t="shared" si="18"/>
        <v>1.3213332917011917</v>
      </c>
      <c r="K35" s="51">
        <f t="shared" si="18"/>
        <v>1.4094236832907514</v>
      </c>
      <c r="L35" s="51">
        <f t="shared" si="18"/>
        <v>1.0878470039244115</v>
      </c>
      <c r="M35" s="51">
        <f t="shared" si="18"/>
        <v>1.6020390223150573</v>
      </c>
      <c r="N35" s="51">
        <f t="shared" si="18"/>
        <v>1.5969776819730235</v>
      </c>
      <c r="O35" s="51">
        <f t="shared" si="18"/>
        <v>1.5097942181098367</v>
      </c>
      <c r="P35" s="51">
        <f t="shared" si="18"/>
        <v>0.70662426279749546</v>
      </c>
      <c r="Q35" s="51">
        <f t="shared" si="18"/>
        <v>0.96394700392441146</v>
      </c>
      <c r="R35" s="52">
        <f>R34-R$11</f>
        <v>2.3606736990459409</v>
      </c>
    </row>
    <row r="36" spans="1:18" x14ac:dyDescent="0.25">
      <c r="A36" s="138"/>
      <c r="B36" s="46" t="s">
        <v>15</v>
      </c>
      <c r="C36" s="47">
        <f>IF(C35&gt;0,C$13/C35,"N/A")</f>
        <v>736.65557240744511</v>
      </c>
      <c r="D36" s="95">
        <f>IF(D35&gt;0,D$13/D35,"N/A")</f>
        <v>764.56895283624999</v>
      </c>
      <c r="E36" s="48">
        <f>IF(E35&gt;0,E$13/E35,"N/A")</f>
        <v>760.8333698970124</v>
      </c>
      <c r="F36" s="48">
        <f t="shared" ref="F36:Q36" si="19">IF(F35&gt;0,F$13/F35,"N/A")</f>
        <v>732.21338657567151</v>
      </c>
      <c r="G36" s="48">
        <f t="shared" si="19"/>
        <v>749.84247594352587</v>
      </c>
      <c r="H36" s="48">
        <f t="shared" si="19"/>
        <v>756.01201418460425</v>
      </c>
      <c r="I36" s="48">
        <f t="shared" si="19"/>
        <v>691.32726212106695</v>
      </c>
      <c r="J36" s="48">
        <f t="shared" si="19"/>
        <v>681.13019300472399</v>
      </c>
      <c r="K36" s="48">
        <f t="shared" si="19"/>
        <v>674.03436685689894</v>
      </c>
      <c r="L36" s="48">
        <f t="shared" si="19"/>
        <v>735.39753027217751</v>
      </c>
      <c r="M36" s="48">
        <f t="shared" si="19"/>
        <v>811.46587685573968</v>
      </c>
      <c r="N36" s="48">
        <f t="shared" si="19"/>
        <v>1064.5108063750115</v>
      </c>
      <c r="O36" s="48">
        <f t="shared" si="19"/>
        <v>1059.7470706988765</v>
      </c>
      <c r="P36" s="48">
        <f t="shared" si="19"/>
        <v>990.62548068860485</v>
      </c>
      <c r="Q36" s="48">
        <f t="shared" si="19"/>
        <v>881.79121522188302</v>
      </c>
      <c r="R36" s="49">
        <f>IF(R35&gt;0,R$13/R35,"N/A")</f>
        <v>889.57656488006307</v>
      </c>
    </row>
    <row r="37" spans="1:18" ht="15.75" thickBot="1" x14ac:dyDescent="0.3">
      <c r="A37" s="139"/>
      <c r="B37" s="53" t="s">
        <v>16</v>
      </c>
      <c r="C37" s="12">
        <f>IFERROR(C35*365/C$13,"N/A")</f>
        <v>0.49548257512958588</v>
      </c>
      <c r="D37" s="97">
        <f t="shared" ref="D37:R37" si="20">IFERROR(D35*365/D$13,"N/A")</f>
        <v>0.47739317512958584</v>
      </c>
      <c r="E37" s="13">
        <f t="shared" si="20"/>
        <v>0.47973710728461738</v>
      </c>
      <c r="F37" s="13">
        <f t="shared" si="20"/>
        <v>0.49848856452486967</v>
      </c>
      <c r="G37" s="13">
        <f t="shared" si="20"/>
        <v>0.48676890374971221</v>
      </c>
      <c r="H37" s="13">
        <f t="shared" si="20"/>
        <v>0.48279656030819862</v>
      </c>
      <c r="I37" s="13">
        <f t="shared" si="20"/>
        <v>0.52796992104743634</v>
      </c>
      <c r="J37" s="13">
        <f t="shared" si="20"/>
        <v>0.53587405718992775</v>
      </c>
      <c r="K37" s="13">
        <f t="shared" si="20"/>
        <v>0.5415154151590782</v>
      </c>
      <c r="L37" s="13">
        <f t="shared" si="20"/>
        <v>0.49633019554051272</v>
      </c>
      <c r="M37" s="13">
        <f t="shared" si="20"/>
        <v>0.44980326395768921</v>
      </c>
      <c r="N37" s="13">
        <f t="shared" si="20"/>
        <v>0.34288050230597272</v>
      </c>
      <c r="O37" s="13">
        <f t="shared" si="20"/>
        <v>0.34442180600630651</v>
      </c>
      <c r="P37" s="13">
        <f t="shared" si="20"/>
        <v>0.36845407988726547</v>
      </c>
      <c r="Q37" s="13">
        <f t="shared" si="20"/>
        <v>0.41393018403812964</v>
      </c>
      <c r="R37" s="14">
        <f t="shared" si="20"/>
        <v>0.41030757150084207</v>
      </c>
    </row>
    <row r="38" spans="1:18" x14ac:dyDescent="0.25"/>
  </sheetData>
  <mergeCells count="16"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  <mergeCell ref="A18:A23"/>
    <mergeCell ref="A25:A30"/>
    <mergeCell ref="A32:A37"/>
    <mergeCell ref="B5:C5"/>
    <mergeCell ref="F5:G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D36" sqref="D36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58</v>
      </c>
      <c r="D1" s="68" t="s">
        <v>57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45"/>
  <sheetViews>
    <sheetView workbookViewId="0">
      <selection activeCell="E19" sqref="E19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61" t="s">
        <v>79</v>
      </c>
      <c r="B2" s="162"/>
      <c r="C2" s="163"/>
      <c r="E2" s="161" t="s">
        <v>80</v>
      </c>
      <c r="F2" s="163"/>
    </row>
    <row r="3" spans="1:6" ht="16.5" thickBot="1" x14ac:dyDescent="0.3">
      <c r="A3" s="111" t="s">
        <v>21</v>
      </c>
      <c r="B3" s="112" t="s">
        <v>81</v>
      </c>
      <c r="C3" s="113" t="s">
        <v>82</v>
      </c>
      <c r="E3" s="111" t="s">
        <v>21</v>
      </c>
      <c r="F3" s="114" t="s">
        <v>83</v>
      </c>
    </row>
    <row r="4" spans="1:6" x14ac:dyDescent="0.25">
      <c r="A4" s="115">
        <v>43926</v>
      </c>
      <c r="B4" s="116" t="s">
        <v>84</v>
      </c>
      <c r="C4" s="117">
        <v>150.97</v>
      </c>
      <c r="E4" s="115">
        <v>44290</v>
      </c>
      <c r="F4" s="117">
        <v>215.24</v>
      </c>
    </row>
    <row r="5" spans="1:6" x14ac:dyDescent="0.25">
      <c r="A5" s="118">
        <v>44262</v>
      </c>
      <c r="B5" s="119" t="s">
        <v>85</v>
      </c>
      <c r="C5" s="120">
        <v>19.86</v>
      </c>
      <c r="E5" s="118">
        <v>44310</v>
      </c>
      <c r="F5" s="120">
        <v>246.25</v>
      </c>
    </row>
    <row r="6" spans="1:6" x14ac:dyDescent="0.25">
      <c r="A6" s="118">
        <v>44263</v>
      </c>
      <c r="B6" s="119" t="s">
        <v>86</v>
      </c>
      <c r="C6" s="120">
        <v>18.11</v>
      </c>
      <c r="E6" s="118">
        <v>44318</v>
      </c>
      <c r="F6" s="120">
        <v>788.93</v>
      </c>
    </row>
    <row r="7" spans="1:6" x14ac:dyDescent="0.25">
      <c r="A7" s="118">
        <v>44264</v>
      </c>
      <c r="B7" s="119" t="s">
        <v>87</v>
      </c>
      <c r="C7" s="120">
        <v>7.99</v>
      </c>
      <c r="E7" s="118">
        <v>44328</v>
      </c>
      <c r="F7" s="120">
        <v>297</v>
      </c>
    </row>
    <row r="8" spans="1:6" x14ac:dyDescent="0.25">
      <c r="A8" s="118">
        <v>44271</v>
      </c>
      <c r="B8" s="119" t="s">
        <v>88</v>
      </c>
      <c r="C8" s="120">
        <v>16.89</v>
      </c>
      <c r="E8" s="118">
        <v>44328</v>
      </c>
      <c r="F8" s="120">
        <v>742.5</v>
      </c>
    </row>
    <row r="9" spans="1:6" x14ac:dyDescent="0.25">
      <c r="A9" s="118">
        <v>44271</v>
      </c>
      <c r="B9" s="119" t="s">
        <v>89</v>
      </c>
      <c r="C9" s="120">
        <v>60.07</v>
      </c>
      <c r="E9" s="118">
        <v>44333</v>
      </c>
      <c r="F9" s="120">
        <v>367.54</v>
      </c>
    </row>
    <row r="10" spans="1:6" x14ac:dyDescent="0.25">
      <c r="A10" s="118">
        <v>44272</v>
      </c>
      <c r="B10" s="119" t="s">
        <v>90</v>
      </c>
      <c r="C10" s="120">
        <v>889.1</v>
      </c>
      <c r="E10" s="118">
        <v>44339</v>
      </c>
      <c r="F10" s="120">
        <v>290.45</v>
      </c>
    </row>
    <row r="11" spans="1:6" x14ac:dyDescent="0.25">
      <c r="A11" s="118">
        <v>44275</v>
      </c>
      <c r="B11" s="119" t="s">
        <v>87</v>
      </c>
      <c r="C11" s="120">
        <v>15.98</v>
      </c>
      <c r="E11" s="118">
        <v>44358</v>
      </c>
      <c r="F11" s="120">
        <v>305.98</v>
      </c>
    </row>
    <row r="12" spans="1:6" x14ac:dyDescent="0.25">
      <c r="A12" s="118">
        <v>44324</v>
      </c>
      <c r="B12" s="119" t="s">
        <v>91</v>
      </c>
      <c r="C12" s="120">
        <v>50</v>
      </c>
      <c r="E12" s="118">
        <v>44371</v>
      </c>
      <c r="F12" s="120">
        <v>726.08</v>
      </c>
    </row>
    <row r="13" spans="1:6" x14ac:dyDescent="0.25">
      <c r="A13" s="118">
        <v>44320</v>
      </c>
      <c r="B13" s="119" t="s">
        <v>92</v>
      </c>
      <c r="C13" s="120">
        <v>1034.99</v>
      </c>
      <c r="E13" s="118">
        <v>44381</v>
      </c>
      <c r="F13" s="120">
        <v>305.35000000000002</v>
      </c>
    </row>
    <row r="14" spans="1:6" x14ac:dyDescent="0.25">
      <c r="A14" s="118">
        <v>44320</v>
      </c>
      <c r="B14" s="119" t="s">
        <v>93</v>
      </c>
      <c r="C14" s="120">
        <v>927.88</v>
      </c>
      <c r="E14" s="118">
        <v>44405</v>
      </c>
      <c r="F14" s="120">
        <v>352.14</v>
      </c>
    </row>
    <row r="15" spans="1:6" x14ac:dyDescent="0.25">
      <c r="A15" s="118">
        <v>44332</v>
      </c>
      <c r="B15" s="119" t="s">
        <v>95</v>
      </c>
      <c r="C15" s="120">
        <v>80</v>
      </c>
      <c r="E15" s="118">
        <v>44413</v>
      </c>
      <c r="F15" s="120">
        <v>297</v>
      </c>
    </row>
    <row r="16" spans="1:6" x14ac:dyDescent="0.25">
      <c r="A16" s="118">
        <v>44349</v>
      </c>
      <c r="B16" s="121" t="s">
        <v>96</v>
      </c>
      <c r="C16" s="120">
        <v>56.49</v>
      </c>
      <c r="E16" s="118">
        <v>44418</v>
      </c>
      <c r="F16" s="120">
        <v>311.55</v>
      </c>
    </row>
    <row r="17" spans="1:23" x14ac:dyDescent="0.25">
      <c r="A17" s="118">
        <v>44367</v>
      </c>
      <c r="B17" s="121" t="s">
        <v>97</v>
      </c>
      <c r="C17" s="120">
        <v>50</v>
      </c>
      <c r="E17" s="118">
        <v>44429</v>
      </c>
      <c r="F17" s="120">
        <v>308.89</v>
      </c>
    </row>
    <row r="18" spans="1:23" x14ac:dyDescent="0.25">
      <c r="A18" s="118">
        <v>44362</v>
      </c>
      <c r="B18" s="121" t="s">
        <v>98</v>
      </c>
      <c r="C18" s="120">
        <v>2.48</v>
      </c>
      <c r="E18" s="118">
        <v>44446</v>
      </c>
      <c r="F18" s="120">
        <v>353.19</v>
      </c>
    </row>
    <row r="19" spans="1:23" x14ac:dyDescent="0.25">
      <c r="A19" s="118">
        <v>44366</v>
      </c>
      <c r="B19" s="121" t="s">
        <v>99</v>
      </c>
      <c r="C19" s="120">
        <v>1850</v>
      </c>
      <c r="E19" s="118"/>
      <c r="F19" s="120"/>
    </row>
    <row r="20" spans="1:23" x14ac:dyDescent="0.25">
      <c r="A20" s="118">
        <v>44368</v>
      </c>
      <c r="B20" s="121" t="s">
        <v>100</v>
      </c>
      <c r="C20" s="120">
        <v>20.95</v>
      </c>
      <c r="E20" s="118"/>
      <c r="F20" s="120"/>
    </row>
    <row r="21" spans="1:23" x14ac:dyDescent="0.25">
      <c r="A21" s="118">
        <v>44368</v>
      </c>
      <c r="B21" s="121" t="s">
        <v>101</v>
      </c>
      <c r="C21" s="120">
        <v>22.95</v>
      </c>
      <c r="E21" s="118"/>
      <c r="F21" s="120"/>
    </row>
    <row r="22" spans="1:23" x14ac:dyDescent="0.25">
      <c r="A22" s="118">
        <v>44368</v>
      </c>
      <c r="B22" s="121" t="s">
        <v>102</v>
      </c>
      <c r="C22" s="120">
        <v>20.25</v>
      </c>
      <c r="E22" s="118"/>
      <c r="F22" s="120"/>
    </row>
    <row r="23" spans="1:23" x14ac:dyDescent="0.25">
      <c r="A23" s="118">
        <v>44372</v>
      </c>
      <c r="B23" s="119" t="s">
        <v>87</v>
      </c>
      <c r="C23" s="120">
        <v>9.99</v>
      </c>
      <c r="E23" s="118"/>
      <c r="F23" s="120"/>
    </row>
    <row r="24" spans="1:23" x14ac:dyDescent="0.25">
      <c r="A24" s="118">
        <v>44392</v>
      </c>
      <c r="B24" s="119" t="s">
        <v>110</v>
      </c>
      <c r="C24" s="120">
        <v>50</v>
      </c>
      <c r="D24" s="119"/>
      <c r="E24" s="118"/>
      <c r="F24" s="120"/>
    </row>
    <row r="25" spans="1:23" x14ac:dyDescent="0.25">
      <c r="A25" s="118">
        <v>44423</v>
      </c>
      <c r="B25" s="119" t="s">
        <v>109</v>
      </c>
      <c r="C25" s="120">
        <v>50</v>
      </c>
      <c r="D25" s="119"/>
      <c r="E25" s="118"/>
      <c r="F25" s="120"/>
    </row>
    <row r="26" spans="1:23" x14ac:dyDescent="0.25">
      <c r="A26" s="118">
        <v>44433</v>
      </c>
      <c r="B26" s="119" t="s">
        <v>116</v>
      </c>
      <c r="C26" s="120">
        <v>553.92999999999995</v>
      </c>
      <c r="D26" s="119"/>
      <c r="E26" s="118"/>
      <c r="F26" s="120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</row>
    <row r="27" spans="1:23" x14ac:dyDescent="0.25">
      <c r="A27" s="118">
        <v>44433</v>
      </c>
      <c r="B27" s="119" t="s">
        <v>117</v>
      </c>
      <c r="C27" s="120">
        <v>98.27</v>
      </c>
      <c r="D27" s="119"/>
      <c r="E27" s="118"/>
      <c r="F27" s="120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</row>
    <row r="28" spans="1:23" x14ac:dyDescent="0.25">
      <c r="A28" s="118">
        <v>44434</v>
      </c>
      <c r="B28" s="119" t="s">
        <v>118</v>
      </c>
      <c r="C28" s="120">
        <v>950</v>
      </c>
      <c r="D28" s="119"/>
      <c r="E28" s="118"/>
      <c r="F28" s="120"/>
    </row>
    <row r="29" spans="1:23" x14ac:dyDescent="0.25">
      <c r="A29" s="118">
        <v>44438</v>
      </c>
      <c r="B29" s="119" t="s">
        <v>119</v>
      </c>
      <c r="C29" s="120">
        <v>25.93</v>
      </c>
      <c r="D29" s="119"/>
      <c r="E29" s="118"/>
      <c r="F29" s="120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</row>
    <row r="30" spans="1:23" x14ac:dyDescent="0.25">
      <c r="A30" s="118"/>
      <c r="B30" s="119"/>
      <c r="C30" s="120"/>
      <c r="D30" s="119"/>
      <c r="E30" s="118"/>
      <c r="F30" s="120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</row>
    <row r="31" spans="1:23" x14ac:dyDescent="0.25">
      <c r="A31" s="118"/>
      <c r="B31" s="119"/>
      <c r="C31" s="120"/>
      <c r="D31" s="119"/>
      <c r="E31" s="118"/>
      <c r="F31" s="120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</row>
    <row r="32" spans="1:23" x14ac:dyDescent="0.25">
      <c r="A32" s="126"/>
      <c r="B32" s="127"/>
      <c r="C32" s="128"/>
      <c r="D32" s="127"/>
      <c r="E32" s="126"/>
      <c r="F32" s="128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</row>
    <row r="33" spans="1:6" x14ac:dyDescent="0.25">
      <c r="A33" s="109"/>
    </row>
    <row r="34" spans="1:6" x14ac:dyDescent="0.25">
      <c r="A34" s="109"/>
      <c r="B34" s="6" t="s">
        <v>94</v>
      </c>
      <c r="C34" s="110">
        <f>SUM(C4:C33)</f>
        <v>7033.08</v>
      </c>
      <c r="E34" s="6" t="s">
        <v>94</v>
      </c>
      <c r="F34" s="110">
        <f>SUM(F4:F33)</f>
        <v>5908.09</v>
      </c>
    </row>
    <row r="35" spans="1:6" x14ac:dyDescent="0.25">
      <c r="A35" s="109"/>
    </row>
    <row r="36" spans="1:6" x14ac:dyDescent="0.25">
      <c r="A36" s="109"/>
      <c r="B36" s="6" t="s">
        <v>108</v>
      </c>
      <c r="C36" s="110">
        <f>C34-F34</f>
        <v>1124.9899999999998</v>
      </c>
    </row>
    <row r="37" spans="1:6" x14ac:dyDescent="0.25"/>
    <row r="38" spans="1:6" x14ac:dyDescent="0.25"/>
    <row r="39" spans="1:6" x14ac:dyDescent="0.25"/>
    <row r="40" spans="1:6" x14ac:dyDescent="0.25"/>
    <row r="41" spans="1:6" x14ac:dyDescent="0.25"/>
    <row r="42" spans="1:6" x14ac:dyDescent="0.25"/>
    <row r="43" spans="1:6" x14ac:dyDescent="0.25"/>
    <row r="44" spans="1:6" x14ac:dyDescent="0.25"/>
    <row r="45" spans="1:6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2021-09-03T23:23:49Z</cp:lastPrinted>
  <dcterms:created xsi:type="dcterms:W3CDTF">2021-03-17T05:33:13Z</dcterms:created>
  <dcterms:modified xsi:type="dcterms:W3CDTF">2021-09-07T23:51:39Z</dcterms:modified>
</cp:coreProperties>
</file>