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35BCC8B3-7C5F-45D1-8D93-3783364405AD}" xr6:coauthVersionLast="47" xr6:coauthVersionMax="47" xr10:uidLastSave="{00000000-0000-0000-0000-000000000000}"/>
  <bookViews>
    <workbookView xWindow="-120" yWindow="-120" windowWidth="38640" windowHeight="21240" firstSheet="2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9" i="9" l="1"/>
  <c r="J28" i="9"/>
  <c r="H30" i="9"/>
  <c r="I30" i="9"/>
  <c r="D46" i="9"/>
  <c r="J27" i="9"/>
  <c r="J26" i="9"/>
  <c r="D22" i="3"/>
  <c r="J25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J30" i="9" l="1"/>
  <c r="D47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<sst xmlns="http://schemas.openxmlformats.org/spreadsheetml/2006/main" count="2341" uniqueCount="138">
  <si>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</si>
  <si>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</si>
  <si>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</si>
  <si>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</si>
  <si>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</si>
  <si>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</si>
  <si>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</si>
  <si>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</si>
  <si>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</si>
  <si>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</si>
  <si>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</si>
  <si>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</si>
  <si>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</si>
  <si>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</si>
  <si>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</si>
  <si>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</si>
  <si>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</si>
  <si>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</si>
  <si>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</si>
  <si>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</si>
  <si>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</si>
  <si>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</si>
  <si>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</si>
  <si>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</si>
  <si>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</si>
  <si>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</si>
  <si>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</si>
  <si>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</si>
  <si>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</si>
  <si>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</si>
  <si>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</si>
  <si>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</si>
  <si>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</si>
  <si>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</si>
  <si>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</si>
  <si>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</si>
  <si>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</si>
  <si>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</si>
  <si>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</si>
  <si>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</si>
  <si>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</si>
  <si>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</si>
  <si>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</si>
  <si>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</si>
  <si>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</si>
  <si>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</si>
  <si>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</si>
  <si>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</si>
  <si>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</si>
  <si>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</si>
  <si>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</si>
  <si>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</si>
  <si>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</si>
  <si>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</si>
  <si>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</si>
  <si>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</si>
  <si>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</si>
  <si>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</si>
  <si>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</si>
  <si>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</si>
  <si>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</si>
  <si>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</si>
  <si>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</si>
  <si>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</si>
  <si>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</si>
  <si>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</si>
  <si>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</si>
  <si>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</si>
  <si>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</si>
  <si>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</si>
  <si>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</si>
  <si>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</si>
  <si>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</si>
  <si>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</si>
  <si>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</si>
  <si>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</si>
  <si>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</si>
  <si>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</si>
  <si>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</si>
  <si>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</si>
  <si>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</si>
  <si>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</si>
  <si>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</si>
  <si>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</si>
  <si>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</si>
  <si>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</si>
  <si>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</si>
  <si>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</si>
  <si>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</si>
  <si>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</si>
  <si>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</si>
  <si>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</si>
  <si>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</si>
  <si>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</si>
  <si>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</si>
  <si>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</si>
  <si>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</si>
  <si>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</si>
  <si>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</si>
  <si>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</si>
  <si>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</si>
  <si>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</si>
  <si>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</si>
  <si>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</si>
  <si>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</si>
  <si>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</si>
  <si>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</si>
  <si>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</si>
  <si>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</si>
  <si>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</si>
  <si>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</si>
  <si>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</si>
  <si>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</si>
  <si>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</si>
  <si>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</si>
  <si>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</si>
  <si>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</si>
  <si>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</si>
  <si>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</si>
  <si>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</si>
  <si>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</si>
  <si>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</si>
  <si>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</si>
  <si>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</si>
  <si>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</si>
  <si>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</si>
  <si>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</si>
  <si>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</si>
  <si>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</si>
  <si>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</si>
  <si>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</si>
  <si>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</si>
  <si>
    <t>Bitcoin</t>
  </si>
  <si>
    <t>GTX 1080</t>
  </si>
  <si>
    <t>PCI-E Spliter</t>
  </si>
  <si>
    <t>Power Supply</t>
  </si>
  <si>
    <t>Electricity for Aug 16-Sep 15</t>
  </si>
  <si>
    <t>2x Fractal Design 860W Power 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</si>
</sst>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8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8" fontId="0" fillId="0" borderId="48" xfId="0" applyNumberFormat="1" applyBorder="1" applyAlignment="1">
      <alignment horizontal="center"/>
    </xf>
    <xf numFmtId="44" fontId="0" fillId="0" borderId="52" xfId="6" applyFont="1" applyBorder="1"/>
    <xf numFmtId="44" fontId="0" fillId="0" borderId="53" xfId="6" applyFont="1" applyBorder="1"/>
    <xf numFmtId="44" fontId="0" fillId="0" borderId="54" xfId="6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168" fontId="0" fillId="0" borderId="55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25" xfId="5" applyNumberFormat="1" applyFont="1" applyBorder="1" applyAlignment="1">
      <alignment horizontal="center"/>
    </xf>
    <xf numFmtId="0" fontId="0" fillId="0" borderId="13" xfId="5" applyFont="1" applyBorder="1"/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J30" totalsRowCount="1" headerRowDxfId="20" totalsRowDxfId="19" headerRowBorderDxfId="17" tableBorderDxfId="18" totalsRowBorderDxfId="16">
  <autoFilter ref="F3:J29" xr:uid="{238499DD-8D17-4833-9AA8-FD68DE0BF18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4E01CD7-5E1F-4AF4-974F-B394CD72DC31}" name="Date" totalsRowLabel="Total" dataDxfId="15" totalsRowDxfId="10"/>
    <tableColumn id="5" xr3:uid="{8DD51721-5B00-4771-A73D-3BBA224B6C23}" name="Item" dataDxfId="14" totalsRowDxfId="9"/>
    <tableColumn id="2" xr3:uid="{1A28A165-771D-4B12-92BE-3F5B7AFAC020}" name="Amount" totalsRowFunction="sum" dataDxfId="13" totalsRowDxfId="8" dataCellStyle="Currency"/>
    <tableColumn id="3" xr3:uid="{0EB43FCD-7135-4781-BA0E-2BEE28C2D12B}" name="Fees" totalsRowFunction="sum" dataDxfId="12" totalsRowDxfId="7" dataCellStyle="Currency"/>
    <tableColumn id="4" xr3:uid="{5E9918E3-918E-463F-BB9E-9462F612D3F5}" name="Net" totalsRowFunction="sum" dataDxfId="11" totalsRowDxfId="6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6" totalsRowCount="1" headerRowDxfId="23" headerRowBorderDxfId="22" tableBorderDxfId="21">
  <autoFilter ref="B3:D45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L19" sqref="L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9">
        <v>44755</v>
      </c>
      <c r="C2" s="160"/>
    </row>
    <row r="3" spans="1:23" ht="15.75" thickBot="1" x14ac:dyDescent="0.3">
      <c r="D3" s="1"/>
      <c r="H3" s="1"/>
    </row>
    <row r="4" spans="1:23" ht="15.75" thickBot="1" x14ac:dyDescent="0.3">
      <c r="A4" s="165" t="s">
        <v>46</v>
      </c>
      <c r="B4" s="166"/>
      <c r="C4" s="58">
        <v>932.55</v>
      </c>
      <c r="D4" s="1"/>
      <c r="H4" s="1"/>
    </row>
    <row r="5" spans="1:23" ht="15.75" thickBot="1" x14ac:dyDescent="0.3">
      <c r="A5" s="161" t="s">
        <v>113</v>
      </c>
      <c r="B5" s="162"/>
      <c r="C5" s="57">
        <v>1412.81</v>
      </c>
    </row>
    <row r="6" spans="1:23" s="6" customFormat="1" ht="15.75" thickBot="1" x14ac:dyDescent="0.3">
      <c r="A6" s="161" t="s">
        <v>109</v>
      </c>
      <c r="B6" s="162"/>
      <c r="C6" s="57">
        <v>13671.53</v>
      </c>
    </row>
    <row r="7" spans="1:23" s="6" customFormat="1" ht="15.75" thickBot="1" x14ac:dyDescent="0.3">
      <c r="A7" s="163" t="s">
        <v>112</v>
      </c>
      <c r="B7" s="164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550</v>
      </c>
      <c r="Q12" s="104">
        <v>900</v>
      </c>
      <c r="R12" s="104">
        <v>800</v>
      </c>
      <c r="S12" s="104">
        <v>850</v>
      </c>
      <c r="T12" s="104">
        <v>950</v>
      </c>
      <c r="U12" s="116">
        <v>1050</v>
      </c>
      <c r="V12" s="116">
        <v>1050</v>
      </c>
      <c r="W12" s="65">
        <v>1650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550</v>
      </c>
      <c r="L18" s="104">
        <v>1000</v>
      </c>
      <c r="M18" s="104">
        <v>1000</v>
      </c>
      <c r="N18" s="104">
        <v>1000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C28" sqref="C28:S28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9">
        <f>'Card Data'!$B$2</f>
        <v>44755</v>
      </c>
      <c r="E3" s="160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7" t="s">
        <v>32</v>
      </c>
      <c r="C5" s="173" t="s">
        <v>56</v>
      </c>
      <c r="D5" s="174"/>
      <c r="E5" s="59">
        <f>'Electricity Calculations'!$G$6</f>
        <v>10.324999999999999</v>
      </c>
      <c r="F5" s="1"/>
      <c r="G5" s="173" t="s">
        <v>50</v>
      </c>
      <c r="H5" s="174"/>
      <c r="I5" s="57">
        <f>'Card Data'!$C$5</f>
        <v>1412.81</v>
      </c>
      <c r="J5" s="1"/>
      <c r="K5" s="173" t="s">
        <v>111</v>
      </c>
      <c r="L5" s="174"/>
      <c r="M5" s="57">
        <f>'Card Data'!$C$7</f>
        <v>6511</v>
      </c>
      <c r="O5" s="165" t="s">
        <v>48</v>
      </c>
      <c r="P5" s="166"/>
      <c r="Q5" s="175">
        <f>$M$5*$M$6*$I$5/$E$6/10000</f>
        <v>2.0712320303790683</v>
      </c>
    </row>
    <row r="6" spans="2:31" s="6" customFormat="1" ht="15.75" thickBot="1" x14ac:dyDescent="0.3">
      <c r="B6" s="168"/>
      <c r="C6" s="173" t="s">
        <v>46</v>
      </c>
      <c r="D6" s="174"/>
      <c r="E6" s="58">
        <f>'Card Data'!$C$4</f>
        <v>932.55</v>
      </c>
      <c r="F6" s="1"/>
      <c r="G6" s="173" t="s">
        <v>110</v>
      </c>
      <c r="H6" s="174"/>
      <c r="I6" s="57">
        <f>'Card Data'!$C$6</f>
        <v>13671.53</v>
      </c>
      <c r="J6" s="1"/>
      <c r="K6" s="173" t="s">
        <v>39</v>
      </c>
      <c r="L6" s="174"/>
      <c r="M6" s="59">
        <f>$I$6/$M$5</f>
        <v>2.0997588696052834</v>
      </c>
      <c r="O6" s="177"/>
      <c r="P6" s="178"/>
      <c r="Q6" s="176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8"/>
      <c r="W7"/>
      <c r="X7"/>
      <c r="Y7"/>
      <c r="Z7"/>
      <c r="AA7"/>
      <c r="AB7"/>
      <c r="AC7"/>
      <c r="AD7"/>
      <c r="AE7"/>
    </row>
    <row r="8" spans="2:31" ht="15.75" thickBot="1" x14ac:dyDescent="0.3">
      <c r="B8" s="168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8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68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8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8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8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68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950</v>
      </c>
      <c r="S14" s="21">
        <f>INDEX('Card Data'!$12:$12,MATCH('Nvidia Analysis'!S$8,'Card Data'!$9:$9,0))</f>
        <v>1650</v>
      </c>
    </row>
    <row r="15" spans="2:31" x14ac:dyDescent="0.25">
      <c r="B15" s="168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8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741.04941700118138</v>
      </c>
      <c r="S16" s="41">
        <f t="shared" si="7"/>
        <v>927.35784738841357</v>
      </c>
    </row>
    <row r="17" spans="2:31" ht="18" thickBot="1" x14ac:dyDescent="0.3">
      <c r="B17" s="168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0.49254475022334193</v>
      </c>
      <c r="S17" s="38">
        <f t="shared" si="9"/>
        <v>0.39359132079153453</v>
      </c>
    </row>
    <row r="18" spans="2:31" s="6" customFormat="1" x14ac:dyDescent="0.25">
      <c r="B18" s="168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8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9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7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68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8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68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68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798.01724170919431</v>
      </c>
      <c r="S26" s="49">
        <f t="shared" si="15"/>
        <v>993.27931916535579</v>
      </c>
    </row>
    <row r="27" spans="2:31" ht="15.75" thickBot="1" x14ac:dyDescent="0.3">
      <c r="B27" s="168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0.45738360140971707</v>
      </c>
      <c r="S27" s="56">
        <f t="shared" si="18"/>
        <v>0.36746964620858757</v>
      </c>
    </row>
    <row r="28" spans="2:31" ht="108.75" customHeight="1" thickBot="1" x14ac:dyDescent="0.3">
      <c r="B28" s="169"/>
      <c r="C28" s="170" t="s">
        <v>38</v>
      </c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2"/>
    </row>
    <row r="29" spans="2:31" ht="15.75" thickBot="1" x14ac:dyDescent="0.3"/>
    <row r="30" spans="2:31" ht="15.75" thickBot="1" x14ac:dyDescent="0.3">
      <c r="B30" s="167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8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8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68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68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8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-0.20381889855395349</v>
      </c>
      <c r="S35" s="56">
        <f t="shared" si="27"/>
        <v>-0.12374628729325968</v>
      </c>
    </row>
    <row r="36" spans="2:19" ht="80.25" customHeight="1" thickBot="1" x14ac:dyDescent="0.3">
      <c r="B36" s="169"/>
      <c r="C36" s="170" t="s">
        <v>47</v>
      </c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2"/>
    </row>
    <row r="37" spans="2:19" ht="15.75" thickBot="1" x14ac:dyDescent="0.3"/>
    <row r="38" spans="2:19" ht="15.75" thickBot="1" x14ac:dyDescent="0.3">
      <c r="B38" s="167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8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8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68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68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46000.787987242118</v>
      </c>
      <c r="S42" s="49">
        <f>IF(S41&gt;0,S$14/S41,"N/A")</f>
        <v>10873.394391284224</v>
      </c>
    </row>
    <row r="43" spans="2:19" ht="15.75" thickBot="1" x14ac:dyDescent="0.3">
      <c r="B43" s="168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7.9346466869486959E-3</v>
      </c>
      <c r="S43" s="14">
        <f t="shared" si="52"/>
        <v>3.3568174469287407E-2</v>
      </c>
    </row>
    <row r="44" spans="2:19" ht="74.25" customHeight="1" thickBot="1" x14ac:dyDescent="0.3">
      <c r="B44" s="169"/>
      <c r="C44" s="170" t="s">
        <v>37</v>
      </c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2"/>
    </row>
    <row r="45" spans="2:19" x14ac:dyDescent="0.2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K37" sqref="K37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9">
        <f>'Card Data'!$B$2</f>
        <v>44755</v>
      </c>
      <c r="E3" s="160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7" t="s">
        <v>32</v>
      </c>
      <c r="C5" s="173" t="s">
        <v>56</v>
      </c>
      <c r="D5" s="174"/>
      <c r="E5" s="59">
        <f>'Electricity Calculations'!$G$6</f>
        <v>10.324999999999999</v>
      </c>
      <c r="F5" s="1"/>
      <c r="G5" s="173" t="s">
        <v>50</v>
      </c>
      <c r="H5" s="174"/>
      <c r="I5" s="57">
        <f>'Card Data'!$C$5</f>
        <v>1412.81</v>
      </c>
      <c r="J5" s="1"/>
      <c r="K5" s="173" t="s">
        <v>111</v>
      </c>
      <c r="L5" s="174"/>
      <c r="M5" s="57">
        <f>'Card Data'!$C$7</f>
        <v>6511</v>
      </c>
      <c r="O5" s="165" t="s">
        <v>48</v>
      </c>
      <c r="P5" s="166"/>
      <c r="Q5" s="175">
        <f>$M$5*$M$6*$I$5/$E$6/10000</f>
        <v>2.0712320303790683</v>
      </c>
    </row>
    <row r="6" spans="2:21" ht="15.75" thickBot="1" x14ac:dyDescent="0.3">
      <c r="B6" s="168"/>
      <c r="C6" s="173" t="s">
        <v>46</v>
      </c>
      <c r="D6" s="174"/>
      <c r="E6" s="58">
        <f>'Card Data'!$C$4</f>
        <v>932.55</v>
      </c>
      <c r="F6" s="1"/>
      <c r="G6" s="173" t="s">
        <v>110</v>
      </c>
      <c r="H6" s="174"/>
      <c r="I6" s="57">
        <f>'Card Data'!$C$6</f>
        <v>13671.53</v>
      </c>
      <c r="J6" s="1"/>
      <c r="K6" s="173" t="s">
        <v>39</v>
      </c>
      <c r="L6" s="174"/>
      <c r="M6" s="59">
        <f>$I$6/$M$5</f>
        <v>2.0997588696052834</v>
      </c>
      <c r="O6" s="177"/>
      <c r="P6" s="178"/>
      <c r="Q6" s="176"/>
    </row>
    <row r="7" spans="2:21" ht="15.75" thickBot="1" x14ac:dyDescent="0.3">
      <c r="B7" s="168"/>
    </row>
    <row r="8" spans="2:21" ht="15.75" thickBot="1" x14ac:dyDescent="0.3">
      <c r="B8" s="168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8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68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8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8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8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68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550</v>
      </c>
      <c r="N14" s="20">
        <f>INDEX('Card Data'!$18:$18,MATCH('AMD Analysis'!N$8,'Card Data'!$15:$15,0))</f>
        <v>1000</v>
      </c>
      <c r="O14" s="20">
        <f>INDEX('Card Data'!$18:$18,MATCH('AMD Analysis'!O$8,'Card Data'!$15:$15,0))</f>
        <v>1000</v>
      </c>
      <c r="P14" s="20">
        <f>INDEX('Card Data'!$18:$18,MATCH('AMD Analysis'!P$8,'Card Data'!$15:$15,0))</f>
        <v>1000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8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8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995.98156879779731</v>
      </c>
      <c r="N16" s="40">
        <f t="shared" si="4"/>
        <v>1136.9953053975555</v>
      </c>
      <c r="O16" s="40">
        <f t="shared" si="4"/>
        <v>1158.6768189107336</v>
      </c>
      <c r="P16" s="40">
        <f t="shared" si="4"/>
        <v>1281.3473632936498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69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0.36647264511187128</v>
      </c>
      <c r="N17" s="37">
        <f t="shared" si="5"/>
        <v>0.32102155415002009</v>
      </c>
      <c r="O17" s="37">
        <f t="shared" si="5"/>
        <v>0.31501450106090384</v>
      </c>
      <c r="P17" s="37">
        <f t="shared" si="5"/>
        <v>0.28485640229655035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67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68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8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68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68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1087.022308028457</v>
      </c>
      <c r="N23" s="48">
        <f t="shared" si="9"/>
        <v>1223.8055965605192</v>
      </c>
      <c r="O23" s="48">
        <f t="shared" si="9"/>
        <v>1250.4978085411703</v>
      </c>
      <c r="P23" s="48">
        <f t="shared" si="9"/>
        <v>1393.824934988636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69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0.33577967747690851</v>
      </c>
      <c r="N24" s="55">
        <f t="shared" si="10"/>
        <v>0.29824998433233602</v>
      </c>
      <c r="O24" s="55">
        <f t="shared" si="10"/>
        <v>0.29188375821770429</v>
      </c>
      <c r="P24" s="55">
        <f t="shared" si="10"/>
        <v>0.26186932866355694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67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8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8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68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68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9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-0.24139904438776197</v>
      </c>
      <c r="N31" s="55">
        <f t="shared" si="15"/>
        <v>-0.12996750569789917</v>
      </c>
      <c r="O31" s="55">
        <f t="shared" si="15"/>
        <v>-0.14308795089818144</v>
      </c>
      <c r="P31" s="55">
        <f t="shared" si="15"/>
        <v>-0.17040069281806852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67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8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8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68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68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50896.785011942171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69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-5.6554551816769105E-2</v>
      </c>
      <c r="N38" s="13">
        <f t="shared" si="20"/>
        <v>7.1713763436012361E-3</v>
      </c>
      <c r="O38" s="13">
        <f t="shared" si="20"/>
        <v>-3.785995007445986E-3</v>
      </c>
      <c r="P38" s="13">
        <f t="shared" si="20"/>
        <v>-3.1963966467027094E-2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AA53"/>
  <sheetViews>
    <sheetView showGridLines="0" tabSelected="1" workbookViewId="0">
      <selection activeCell="G35" sqref="G35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3.28515625" style="6" bestFit="1" customWidth="1"/>
    <col min="8" max="8" width="10.5703125" style="6" bestFit="1" customWidth="1"/>
    <col min="9" max="10" width="10.5703125" style="6" customWidth="1"/>
    <col min="11" max="11" width="4.5703125" style="6" customWidth="1"/>
    <col min="12" max="27" width="9.140625" hidden="1" customWidth="1"/>
    <col min="28" max="16384" width="9.140625" style="6" hidden="1"/>
  </cols>
  <sheetData>
    <row r="1" spans="2:10" x14ac:dyDescent="0.25"/>
    <row r="2" spans="2:10" ht="21.75" thickBot="1" x14ac:dyDescent="0.3">
      <c r="B2" s="134" t="s">
        <v>79</v>
      </c>
      <c r="C2" s="134"/>
      <c r="D2" s="134"/>
      <c r="F2" s="135" t="s">
        <v>80</v>
      </c>
      <c r="G2" s="135"/>
      <c r="H2" s="134"/>
      <c r="I2" s="134"/>
      <c r="J2" s="134"/>
    </row>
    <row r="3" spans="2:10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79" t="s">
        <v>81</v>
      </c>
      <c r="H3" s="143" t="s">
        <v>83</v>
      </c>
      <c r="I3" s="144" t="s">
        <v>128</v>
      </c>
      <c r="J3" s="145" t="s">
        <v>129</v>
      </c>
    </row>
    <row r="4" spans="2:10" x14ac:dyDescent="0.25">
      <c r="B4" s="130">
        <v>43926</v>
      </c>
      <c r="C4" s="110" t="s">
        <v>84</v>
      </c>
      <c r="D4" s="127">
        <v>150.97</v>
      </c>
      <c r="F4" s="148">
        <v>44290</v>
      </c>
      <c r="G4" s="180" t="s">
        <v>132</v>
      </c>
      <c r="H4" s="141">
        <v>218.23</v>
      </c>
      <c r="I4" s="142">
        <v>2.99</v>
      </c>
      <c r="J4" s="151">
        <f>ProfitTable[[#This Row],[Amount]]-ProfitTable[[#This Row],[Fees]]</f>
        <v>215.23999999999998</v>
      </c>
    </row>
    <row r="5" spans="2:10" x14ac:dyDescent="0.25">
      <c r="B5" s="131">
        <v>44262</v>
      </c>
      <c r="C5" s="111" t="s">
        <v>85</v>
      </c>
      <c r="D5" s="128">
        <v>19.86</v>
      </c>
      <c r="F5" s="149">
        <v>44310</v>
      </c>
      <c r="G5" s="180" t="s">
        <v>132</v>
      </c>
      <c r="H5" s="139">
        <v>249.24</v>
      </c>
      <c r="I5" s="138">
        <v>2.99</v>
      </c>
      <c r="J5" s="140">
        <f>ProfitTable[[#This Row],[Amount]]-ProfitTable[[#This Row],[Fees]]</f>
        <v>246.25</v>
      </c>
    </row>
    <row r="6" spans="2:10" x14ac:dyDescent="0.25">
      <c r="B6" s="131">
        <v>44263</v>
      </c>
      <c r="C6" s="111" t="s">
        <v>86</v>
      </c>
      <c r="D6" s="128">
        <v>18.11</v>
      </c>
      <c r="F6" s="149">
        <v>44318</v>
      </c>
      <c r="G6" s="180" t="s">
        <v>132</v>
      </c>
      <c r="H6" s="139">
        <v>796.9</v>
      </c>
      <c r="I6" s="138">
        <v>7.97</v>
      </c>
      <c r="J6" s="140">
        <f>ProfitTable[[#This Row],[Amount]]-ProfitTable[[#This Row],[Fees]]</f>
        <v>788.93</v>
      </c>
    </row>
    <row r="7" spans="2:10" x14ac:dyDescent="0.25">
      <c r="B7" s="131">
        <v>44264</v>
      </c>
      <c r="C7" s="111" t="s">
        <v>87</v>
      </c>
      <c r="D7" s="128">
        <v>7.99</v>
      </c>
      <c r="F7" s="149">
        <v>44328</v>
      </c>
      <c r="G7" s="180" t="s">
        <v>132</v>
      </c>
      <c r="H7" s="139">
        <v>300</v>
      </c>
      <c r="I7" s="138">
        <v>3</v>
      </c>
      <c r="J7" s="140">
        <f>ProfitTable[[#This Row],[Amount]]-ProfitTable[[#This Row],[Fees]]</f>
        <v>297</v>
      </c>
    </row>
    <row r="8" spans="2:10" x14ac:dyDescent="0.25">
      <c r="B8" s="131">
        <v>44271</v>
      </c>
      <c r="C8" s="111" t="s">
        <v>88</v>
      </c>
      <c r="D8" s="128">
        <v>16.89</v>
      </c>
      <c r="F8" s="149">
        <v>44328</v>
      </c>
      <c r="G8" s="180" t="s">
        <v>132</v>
      </c>
      <c r="H8" s="139">
        <v>750</v>
      </c>
      <c r="I8" s="138">
        <v>7.5</v>
      </c>
      <c r="J8" s="140">
        <f>ProfitTable[[#This Row],[Amount]]-ProfitTable[[#This Row],[Fees]]</f>
        <v>742.5</v>
      </c>
    </row>
    <row r="9" spans="2:10" x14ac:dyDescent="0.25">
      <c r="B9" s="131">
        <v>44271</v>
      </c>
      <c r="C9" s="111" t="s">
        <v>89</v>
      </c>
      <c r="D9" s="128">
        <v>60.07</v>
      </c>
      <c r="F9" s="149">
        <v>44333</v>
      </c>
      <c r="G9" s="180" t="s">
        <v>132</v>
      </c>
      <c r="H9" s="139">
        <v>371.25</v>
      </c>
      <c r="I9" s="138">
        <v>3.71</v>
      </c>
      <c r="J9" s="140">
        <f>ProfitTable[[#This Row],[Amount]]-ProfitTable[[#This Row],[Fees]]</f>
        <v>367.54</v>
      </c>
    </row>
    <row r="10" spans="2:10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80" t="s">
        <v>132</v>
      </c>
      <c r="H10" s="139">
        <v>293.44</v>
      </c>
      <c r="I10" s="138">
        <v>2.99</v>
      </c>
      <c r="J10" s="140">
        <f>ProfitTable[[#This Row],[Amount]]-ProfitTable[[#This Row],[Fees]]</f>
        <v>290.45</v>
      </c>
    </row>
    <row r="11" spans="2:10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80" t="s">
        <v>132</v>
      </c>
      <c r="H11" s="139">
        <v>309.07</v>
      </c>
      <c r="I11" s="138">
        <v>3.09</v>
      </c>
      <c r="J11" s="140">
        <f>ProfitTable[[#This Row],[Amount]]-ProfitTable[[#This Row],[Fees]]</f>
        <v>305.98</v>
      </c>
    </row>
    <row r="12" spans="2:10" x14ac:dyDescent="0.25">
      <c r="B12" s="131">
        <v>44324</v>
      </c>
      <c r="C12" s="111" t="s">
        <v>91</v>
      </c>
      <c r="D12" s="128">
        <v>50</v>
      </c>
      <c r="F12" s="149">
        <v>44371</v>
      </c>
      <c r="G12" s="180" t="s">
        <v>132</v>
      </c>
      <c r="H12" s="139">
        <v>733.41</v>
      </c>
      <c r="I12" s="138">
        <v>7.33</v>
      </c>
      <c r="J12" s="140">
        <f>ProfitTable[[#This Row],[Amount]]-ProfitTable[[#This Row],[Fees]]</f>
        <v>726.07999999999993</v>
      </c>
    </row>
    <row r="13" spans="2:10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80" t="s">
        <v>132</v>
      </c>
      <c r="H13" s="139">
        <v>308.43</v>
      </c>
      <c r="I13" s="138">
        <v>3.08</v>
      </c>
      <c r="J13" s="140">
        <f>ProfitTable[[#This Row],[Amount]]-ProfitTable[[#This Row],[Fees]]</f>
        <v>305.35000000000002</v>
      </c>
    </row>
    <row r="14" spans="2:10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80" t="s">
        <v>132</v>
      </c>
      <c r="H14" s="139">
        <v>345.6</v>
      </c>
      <c r="I14" s="138">
        <v>3.46</v>
      </c>
      <c r="J14" s="140">
        <f>ProfitTable[[#This Row],[Amount]]-ProfitTable[[#This Row],[Fees]]</f>
        <v>342.14000000000004</v>
      </c>
    </row>
    <row r="15" spans="2:10" x14ac:dyDescent="0.25">
      <c r="B15" s="131">
        <v>44332</v>
      </c>
      <c r="C15" s="111" t="s">
        <v>94</v>
      </c>
      <c r="D15" s="128">
        <v>80</v>
      </c>
      <c r="F15" s="149">
        <v>44413</v>
      </c>
      <c r="G15" s="180" t="s">
        <v>132</v>
      </c>
      <c r="H15" s="139">
        <v>300</v>
      </c>
      <c r="I15" s="138">
        <v>3</v>
      </c>
      <c r="J15" s="140">
        <f>ProfitTable[[#This Row],[Amount]]-ProfitTable[[#This Row],[Fees]]</f>
        <v>297</v>
      </c>
    </row>
    <row r="16" spans="2:10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80" t="s">
        <v>132</v>
      </c>
      <c r="H16" s="139">
        <v>314.7</v>
      </c>
      <c r="I16" s="138">
        <v>3.15</v>
      </c>
      <c r="J16" s="140">
        <f>ProfitTable[[#This Row],[Amount]]-ProfitTable[[#This Row],[Fees]]</f>
        <v>311.55</v>
      </c>
    </row>
    <row r="17" spans="2:27" x14ac:dyDescent="0.25">
      <c r="B17" s="131">
        <v>44367</v>
      </c>
      <c r="C17" s="112" t="s">
        <v>96</v>
      </c>
      <c r="D17" s="128">
        <v>50</v>
      </c>
      <c r="F17" s="149">
        <v>44429</v>
      </c>
      <c r="G17" s="180" t="s">
        <v>132</v>
      </c>
      <c r="H17" s="139">
        <v>312.01</v>
      </c>
      <c r="I17" s="138">
        <v>3.12</v>
      </c>
      <c r="J17" s="140">
        <f>ProfitTable[[#This Row],[Amount]]-ProfitTable[[#This Row],[Fees]]</f>
        <v>308.89</v>
      </c>
    </row>
    <row r="18" spans="2:27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80" t="s">
        <v>132</v>
      </c>
      <c r="H18" s="139">
        <v>356.76</v>
      </c>
      <c r="I18" s="138">
        <v>3.57</v>
      </c>
      <c r="J18" s="140">
        <f>ProfitTable[[#This Row],[Amount]]-ProfitTable[[#This Row],[Fees]]</f>
        <v>353.19</v>
      </c>
    </row>
    <row r="19" spans="2:27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80" t="s">
        <v>132</v>
      </c>
      <c r="H19" s="139">
        <v>300.86</v>
      </c>
      <c r="I19" s="138">
        <v>3.01</v>
      </c>
      <c r="J19" s="140">
        <f>ProfitTable[[#This Row],[Amount]]-ProfitTable[[#This Row],[Fees]]</f>
        <v>297.85000000000002</v>
      </c>
    </row>
    <row r="20" spans="2:27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80" t="s">
        <v>132</v>
      </c>
      <c r="H20" s="139">
        <v>323.88</v>
      </c>
      <c r="I20" s="138">
        <v>3.24</v>
      </c>
      <c r="J20" s="140">
        <f>ProfitTable[[#This Row],[Amount]]-ProfitTable[[#This Row],[Fees]]</f>
        <v>320.64</v>
      </c>
    </row>
    <row r="21" spans="2:27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80" t="s">
        <v>132</v>
      </c>
      <c r="H21" s="139">
        <v>337.44</v>
      </c>
      <c r="I21" s="138">
        <v>3.37</v>
      </c>
      <c r="J21" s="140">
        <f>ProfitTable[[#This Row],[Amount]]-ProfitTable[[#This Row],[Fees]]</f>
        <v>334.07</v>
      </c>
    </row>
    <row r="22" spans="2:27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80" t="s">
        <v>132</v>
      </c>
      <c r="H22" s="139">
        <v>302.73</v>
      </c>
      <c r="I22" s="138">
        <v>3.03</v>
      </c>
      <c r="J22" s="140">
        <f>ProfitTable[[#This Row],[Amount]]-ProfitTable[[#This Row],[Fees]]</f>
        <v>299.70000000000005</v>
      </c>
    </row>
    <row r="23" spans="2:27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80" t="s">
        <v>132</v>
      </c>
      <c r="H23" s="139">
        <v>339.87</v>
      </c>
      <c r="I23" s="138">
        <v>3.4</v>
      </c>
      <c r="J23" s="140">
        <f>ProfitTable[[#This Row],[Amount]]-ProfitTable[[#This Row],[Fees]]</f>
        <v>336.47</v>
      </c>
    </row>
    <row r="24" spans="2:27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80" t="s">
        <v>132</v>
      </c>
      <c r="H24" s="139">
        <v>300</v>
      </c>
      <c r="I24" s="138">
        <v>3</v>
      </c>
      <c r="J24" s="140">
        <f>ProfitTable[[#This Row],[Amount]]-ProfitTable[[#This Row],[Fees]]</f>
        <v>297</v>
      </c>
    </row>
    <row r="25" spans="2:27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80" t="s">
        <v>132</v>
      </c>
      <c r="H25" s="139">
        <v>472.7</v>
      </c>
      <c r="I25" s="138">
        <v>4.7300000000000004</v>
      </c>
      <c r="J25" s="146">
        <f>ProfitTable[[#This Row],[Amount]]-ProfitTable[[#This Row],[Fees]]</f>
        <v>467.96999999999997</v>
      </c>
    </row>
    <row r="26" spans="2:27" x14ac:dyDescent="0.25">
      <c r="B26" s="131">
        <v>44433</v>
      </c>
      <c r="C26" s="184" t="s">
        <v>114</v>
      </c>
      <c r="D26" s="128">
        <v>553.92999999999995</v>
      </c>
      <c r="E26"/>
      <c r="F26" s="155">
        <v>44783</v>
      </c>
      <c r="G26" s="180" t="s">
        <v>132</v>
      </c>
      <c r="H26" s="156">
        <v>306.89999999999998</v>
      </c>
      <c r="I26" s="157">
        <v>3.07</v>
      </c>
      <c r="J26" s="158">
        <f>ProfitTable[[#This Row],[Amount]]-ProfitTable[[#This Row],[Fees]]</f>
        <v>303.83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2:27" x14ac:dyDescent="0.25">
      <c r="B27" s="131">
        <v>44433</v>
      </c>
      <c r="C27" s="111" t="s">
        <v>115</v>
      </c>
      <c r="D27" s="128">
        <v>98.27</v>
      </c>
      <c r="E27"/>
      <c r="F27" s="155">
        <v>44838</v>
      </c>
      <c r="G27" s="182" t="s">
        <v>135</v>
      </c>
      <c r="H27" s="156">
        <v>125</v>
      </c>
      <c r="I27" s="157">
        <v>0</v>
      </c>
      <c r="J27" s="158">
        <f>ProfitTable[[#This Row],[Amount]]-ProfitTable[[#This Row],[Fees]]</f>
        <v>125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2:27" x14ac:dyDescent="0.25">
      <c r="B28" s="131">
        <v>44434</v>
      </c>
      <c r="C28" s="111" t="s">
        <v>116</v>
      </c>
      <c r="D28" s="128">
        <v>950</v>
      </c>
      <c r="E28"/>
      <c r="F28" s="155">
        <v>44841</v>
      </c>
      <c r="G28" s="183" t="s">
        <v>133</v>
      </c>
      <c r="H28" s="156">
        <v>220</v>
      </c>
      <c r="I28" s="157">
        <v>0</v>
      </c>
      <c r="J28" s="158">
        <f>ProfitTable[[#This Row],[Amount]]-ProfitTable[[#This Row],[Fees]]</f>
        <v>220</v>
      </c>
    </row>
    <row r="29" spans="2:27" x14ac:dyDescent="0.25">
      <c r="B29" s="131">
        <v>44438</v>
      </c>
      <c r="C29" s="111" t="s">
        <v>137</v>
      </c>
      <c r="D29" s="128">
        <v>379.63</v>
      </c>
      <c r="E29"/>
      <c r="F29" s="155">
        <v>44841</v>
      </c>
      <c r="G29" s="181" t="s">
        <v>134</v>
      </c>
      <c r="H29" s="156">
        <v>0</v>
      </c>
      <c r="I29" s="157">
        <v>0</v>
      </c>
      <c r="J29" s="158">
        <f>ProfitTable[[#This Row],[Amount]]-ProfitTable[[#This Row],[Fees]]</f>
        <v>0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2:27" ht="15.75" thickBot="1" x14ac:dyDescent="0.3">
      <c r="B30" s="131">
        <v>44438</v>
      </c>
      <c r="C30" s="111" t="s">
        <v>117</v>
      </c>
      <c r="D30" s="128">
        <v>25.93</v>
      </c>
      <c r="E30"/>
      <c r="F30" s="150" t="s">
        <v>119</v>
      </c>
      <c r="G30" s="150"/>
      <c r="H30" s="152">
        <f>SUBTOTAL(109,ProfitTable[Amount])</f>
        <v>8988.42</v>
      </c>
      <c r="I30" s="153">
        <f>SUBTOTAL(109,ProfitTable[Fees])</f>
        <v>87.8</v>
      </c>
      <c r="J30" s="154">
        <f>SUBTOTAL(109,ProfitTable[Net])</f>
        <v>8900.6200000000008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2:27" x14ac:dyDescent="0.25">
      <c r="B31" s="131">
        <v>44443</v>
      </c>
      <c r="C31" s="111" t="s">
        <v>117</v>
      </c>
      <c r="D31" s="128">
        <v>40.67</v>
      </c>
      <c r="E31"/>
      <c r="F31"/>
      <c r="H31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2:27" x14ac:dyDescent="0.25">
      <c r="B32" s="131">
        <v>44454</v>
      </c>
      <c r="C32" s="111" t="s">
        <v>118</v>
      </c>
      <c r="D32" s="128">
        <v>95</v>
      </c>
      <c r="E32"/>
      <c r="F32"/>
      <c r="H32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2:10" x14ac:dyDescent="0.25">
      <c r="B33" s="131">
        <v>44483</v>
      </c>
      <c r="C33" s="111" t="s">
        <v>120</v>
      </c>
      <c r="D33" s="128">
        <v>39.119999999999997</v>
      </c>
      <c r="E33"/>
      <c r="F33"/>
      <c r="H33"/>
      <c r="J33" s="136"/>
    </row>
    <row r="34" spans="2:10" x14ac:dyDescent="0.25">
      <c r="B34" s="131">
        <v>44484</v>
      </c>
      <c r="C34" s="111" t="s">
        <v>121</v>
      </c>
      <c r="D34" s="128">
        <v>95</v>
      </c>
      <c r="E34"/>
      <c r="F34"/>
      <c r="H34"/>
    </row>
    <row r="35" spans="2:10" x14ac:dyDescent="0.25">
      <c r="B35" s="131">
        <v>44545</v>
      </c>
      <c r="C35" s="111" t="s">
        <v>122</v>
      </c>
      <c r="D35" s="128">
        <v>95</v>
      </c>
      <c r="E35"/>
      <c r="F35"/>
    </row>
    <row r="36" spans="2:10" x14ac:dyDescent="0.25">
      <c r="B36" s="131">
        <v>44545</v>
      </c>
      <c r="C36" s="111" t="s">
        <v>123</v>
      </c>
      <c r="D36" s="128">
        <v>95</v>
      </c>
      <c r="E36"/>
      <c r="F36"/>
    </row>
    <row r="37" spans="2:10" x14ac:dyDescent="0.25">
      <c r="B37" s="131">
        <v>44577</v>
      </c>
      <c r="C37" s="111" t="s">
        <v>125</v>
      </c>
      <c r="D37" s="128">
        <v>95</v>
      </c>
      <c r="E37"/>
      <c r="F37"/>
    </row>
    <row r="38" spans="2:10" x14ac:dyDescent="0.25">
      <c r="B38" s="131">
        <v>44624</v>
      </c>
      <c r="C38" s="111" t="s">
        <v>126</v>
      </c>
      <c r="D38" s="128">
        <v>95</v>
      </c>
      <c r="E38"/>
      <c r="F38"/>
    </row>
    <row r="39" spans="2:10" x14ac:dyDescent="0.25">
      <c r="B39" s="131">
        <v>44636</v>
      </c>
      <c r="C39" s="111" t="s">
        <v>127</v>
      </c>
      <c r="D39" s="128">
        <v>95</v>
      </c>
    </row>
    <row r="40" spans="2:10" x14ac:dyDescent="0.25">
      <c r="B40" s="131">
        <v>44667</v>
      </c>
      <c r="C40" s="111" t="s">
        <v>130</v>
      </c>
      <c r="D40" s="128">
        <v>95</v>
      </c>
    </row>
    <row r="41" spans="2:10" x14ac:dyDescent="0.25">
      <c r="B41" s="131">
        <v>44712</v>
      </c>
      <c r="C41" s="111" t="s">
        <v>131</v>
      </c>
      <c r="D41" s="128">
        <v>95</v>
      </c>
    </row>
    <row r="42" spans="2:10" x14ac:dyDescent="0.25">
      <c r="B42" s="131">
        <v>44733</v>
      </c>
      <c r="C42" s="111" t="s">
        <v>96</v>
      </c>
      <c r="D42" s="128">
        <v>95</v>
      </c>
    </row>
    <row r="43" spans="2:10" x14ac:dyDescent="0.25">
      <c r="B43" s="131">
        <v>44762</v>
      </c>
      <c r="C43" s="111" t="s">
        <v>108</v>
      </c>
      <c r="D43" s="128">
        <v>95</v>
      </c>
    </row>
    <row r="44" spans="2:10" x14ac:dyDescent="0.25">
      <c r="B44" s="131">
        <v>44788</v>
      </c>
      <c r="C44" s="111" t="s">
        <v>107</v>
      </c>
      <c r="D44" s="128">
        <v>95</v>
      </c>
    </row>
    <row r="45" spans="2:10" x14ac:dyDescent="0.25">
      <c r="B45" s="131">
        <v>44836</v>
      </c>
      <c r="C45" s="111" t="s">
        <v>136</v>
      </c>
      <c r="D45" s="128">
        <v>95</v>
      </c>
    </row>
    <row r="46" spans="2:10" x14ac:dyDescent="0.25">
      <c r="B46" s="129" t="s">
        <v>119</v>
      </c>
      <c r="C46" s="111"/>
      <c r="D46" s="137">
        <f>SUBTOTAL(109,ExpenseTable[Cost])</f>
        <v>8727.5</v>
      </c>
    </row>
    <row r="47" spans="2:10" x14ac:dyDescent="0.25">
      <c r="B47"/>
      <c r="C47" t="s">
        <v>124</v>
      </c>
      <c r="D47" s="136">
        <f>ProfitTable[[#Totals],[Net]]-ExpenseTable[[#Totals],[Cost]]</f>
        <v>173.1200000000008</v>
      </c>
    </row>
    <row r="48" spans="2:10" x14ac:dyDescent="0.25">
      <c r="B48"/>
      <c r="C48"/>
      <c r="D48"/>
    </row>
    <row r="49" spans="2:4" x14ac:dyDescent="0.25">
      <c r="B49"/>
      <c r="C49"/>
      <c r="D49"/>
    </row>
    <row r="50" spans="2:4" x14ac:dyDescent="0.25"/>
    <row r="51" spans="2:4" x14ac:dyDescent="0.25"/>
    <row r="52" spans="2:4" x14ac:dyDescent="0.25"/>
    <row r="53" spans="2:4" x14ac:dyDescent="0.25"/>
  </sheetData>
  <hyperlinks>
    <hyperlink ref="G28" location="'Profit Tracking'!C26" display="GTX 1080" xr:uid="{7152D5CA-3073-49B1-BCC3-8A36912C9BDE}"/>
    <hyperlink ref="C26" location="'Profit Tracking'!G27" display="Gigabyte Nvidia GeForce GTX 1080 8GB" xr:uid="{4B36885E-62E2-46EF-887B-63C760C1268E}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2022-10-10T19:14:40Z</dcterms:modified>
</cp:coreProperties>
</file>