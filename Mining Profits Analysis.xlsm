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B83A72BC-3A1E-4539-AAFD-6A43A2A35AB2}" xr6:coauthVersionLast="47" xr6:coauthVersionMax="47" xr10:uidLastSave="{00000000-0000-0000-0000-000000000000}"/>
  <bookViews>
    <workbookView xWindow="21300" yWindow="2415" windowWidth="28800" windowHeight="15375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9" l="1"/>
  <c r="E13" i="7"/>
  <c r="D13" i="7"/>
  <c r="C13" i="7"/>
  <c r="F14" i="9"/>
  <c r="L4" i="3"/>
  <c r="H5" i="3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J14" i="7" l="1"/>
  <c r="L5" i="3"/>
  <c r="P4" i="3" s="1"/>
  <c r="K14" i="7"/>
  <c r="P4" i="7"/>
  <c r="C8" i="7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L8" i="7"/>
  <c r="K8" i="7"/>
  <c r="R8" i="7"/>
  <c r="Q8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21" i="3" l="1"/>
  <c r="G8" i="3"/>
  <c r="G23" i="3" s="1"/>
  <c r="D8" i="3"/>
  <c r="D12" i="3" s="1"/>
  <c r="D16" i="3" s="1"/>
  <c r="K8" i="3"/>
  <c r="K31" i="3" s="1"/>
  <c r="N8" i="3"/>
  <c r="N31" i="3" s="1"/>
  <c r="Q8" i="3"/>
  <c r="Q23" i="3" s="1"/>
  <c r="L8" i="3"/>
  <c r="L39" i="3" s="1"/>
  <c r="O8" i="3"/>
  <c r="O39" i="3" s="1"/>
  <c r="C8" i="3"/>
  <c r="C39" i="3" s="1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M23" i="3" s="1"/>
  <c r="R8" i="3"/>
  <c r="R23" i="3" s="1"/>
  <c r="I8" i="3"/>
  <c r="I39" i="3" s="1"/>
  <c r="J8" i="3"/>
  <c r="J23" i="3" s="1"/>
  <c r="H8" i="7"/>
  <c r="H27" i="7" s="1"/>
  <c r="H28" i="7" s="1"/>
  <c r="H30" i="7" s="1"/>
  <c r="O8" i="7"/>
  <c r="O12" i="7" s="1"/>
  <c r="O16" i="7" s="1"/>
  <c r="F8" i="3"/>
  <c r="F23" i="3" s="1"/>
  <c r="H8" i="3"/>
  <c r="H31" i="3" s="1"/>
  <c r="E8" i="3"/>
  <c r="E23" i="3" s="1"/>
  <c r="P8" i="3"/>
  <c r="P31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7" i="7"/>
  <c r="I28" i="7" s="1"/>
  <c r="I30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K12" i="3" s="1"/>
  <c r="K16" i="3" s="1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39" i="3"/>
  <c r="K39" i="3"/>
  <c r="K23" i="3"/>
  <c r="G31" i="3" l="1"/>
  <c r="O23" i="3"/>
  <c r="Q31" i="3"/>
  <c r="N23" i="3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I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M15" i="7"/>
  <c r="E29" i="7"/>
  <c r="K36" i="7"/>
  <c r="D29" i="7"/>
  <c r="G15" i="7"/>
  <c r="E22" i="7"/>
  <c r="L22" i="7"/>
  <c r="J29" i="7"/>
  <c r="C22" i="7"/>
  <c r="N22" i="7"/>
  <c r="D15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24" i="3"/>
  <c r="N12" i="3"/>
  <c r="N16" i="3" s="1"/>
  <c r="J24" i="3"/>
  <c r="O40" i="3"/>
  <c r="O42" i="3" s="1"/>
  <c r="H32" i="3"/>
  <c r="H34" i="3" s="1"/>
  <c r="I12" i="3"/>
  <c r="M12" i="3"/>
  <c r="K15" i="3"/>
  <c r="K40" i="3"/>
  <c r="K42" i="3" s="1"/>
  <c r="H24" i="3"/>
  <c r="L40" i="3"/>
  <c r="F12" i="3"/>
  <c r="O12" i="3"/>
  <c r="O16" i="3" s="1"/>
  <c r="K32" i="3"/>
  <c r="C12" i="3"/>
  <c r="C16" i="3" s="1"/>
  <c r="C40" i="3"/>
  <c r="C42" i="3" s="1"/>
  <c r="K24" i="3"/>
  <c r="E12" i="3"/>
  <c r="E16" i="3" s="1"/>
  <c r="E24" i="3"/>
  <c r="E26" i="3" s="1"/>
  <c r="D41" i="3" l="1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<sst xmlns="http://schemas.openxmlformats.org/spreadsheetml/2006/main" count="2289" uniqueCount="110">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</sst>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J19" sqref="J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63</v>
      </c>
      <c r="B2" s="123">
        <v>44377</v>
      </c>
      <c r="C2" s="124"/>
    </row>
    <row r="3" spans="1:23" ht="15.75" thickBot="1" x14ac:dyDescent="0.3">
      <c r="D3" s="1"/>
      <c r="H3" s="1"/>
    </row>
    <row r="4" spans="1:23" ht="15.75" thickBot="1" x14ac:dyDescent="0.3">
      <c r="A4" s="129" t="s">
        <v>47</v>
      </c>
      <c r="B4" s="130"/>
      <c r="C4" s="58">
        <v>492.15100000000001</v>
      </c>
      <c r="D4" s="1"/>
      <c r="H4" s="1"/>
    </row>
    <row r="5" spans="1:23" ht="15.75" thickBot="1" x14ac:dyDescent="0.3">
      <c r="A5" s="125" t="s">
        <v>51</v>
      </c>
      <c r="B5" s="126"/>
      <c r="C5" s="57">
        <v>2646.07</v>
      </c>
    </row>
    <row r="6" spans="1:23" s="6" customFormat="1" ht="15.75" thickBot="1" x14ac:dyDescent="0.3">
      <c r="A6" s="125" t="s">
        <v>58</v>
      </c>
      <c r="B6" s="126"/>
      <c r="C6" s="57">
        <v>13353.81</v>
      </c>
    </row>
    <row r="7" spans="1:23" s="6" customFormat="1" ht="15.75" thickBot="1" x14ac:dyDescent="0.3">
      <c r="A7" s="127" t="s">
        <v>40</v>
      </c>
      <c r="B7" s="128"/>
      <c r="C7" s="58">
        <v>13.29</v>
      </c>
    </row>
    <row r="8" spans="1:23" s="6" customFormat="1" ht="15.75" thickBot="1" x14ac:dyDescent="0.3"/>
    <row r="9" spans="1:23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>
        <v>3060</v>
      </c>
      <c r="O9" s="100" t="s">
        <v>12</v>
      </c>
      <c r="P9" s="100" t="s">
        <v>105</v>
      </c>
      <c r="Q9" s="100">
        <v>3070</v>
      </c>
      <c r="R9" s="100" t="s">
        <v>106</v>
      </c>
      <c r="S9" s="100" t="s">
        <v>109</v>
      </c>
      <c r="T9" s="100">
        <v>3080</v>
      </c>
      <c r="U9" s="158" t="s">
        <v>107</v>
      </c>
      <c r="V9" s="158" t="s">
        <v>108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59"/>
      <c r="V10" s="159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60"/>
      <c r="V11" s="160">
        <v>240</v>
      </c>
      <c r="W11" s="63">
        <v>285</v>
      </c>
    </row>
    <row r="12" spans="1:23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61"/>
      <c r="V12" s="161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B39" sqref="B3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7" t="s">
        <v>80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30" s="6" customFormat="1" x14ac:dyDescent="0.25">
      <c r="A2" s="152" t="s">
        <v>45</v>
      </c>
      <c r="B2" s="152"/>
      <c r="C2" s="123">
        <f>'Card Data'!$B$2</f>
        <v>44377</v>
      </c>
      <c r="D2" s="124"/>
      <c r="E2"/>
      <c r="O2" s="151" t="s">
        <v>50</v>
      </c>
      <c r="P2" s="151"/>
      <c r="Q2" s="151"/>
      <c r="R2" s="151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1" t="s">
        <v>32</v>
      </c>
      <c r="B4" s="147" t="s">
        <v>57</v>
      </c>
      <c r="C4" s="148"/>
      <c r="D4" s="59">
        <f>'Electricity Calculations'!$F$5</f>
        <v>10.324999999999999</v>
      </c>
      <c r="E4" s="1"/>
      <c r="F4" s="147" t="s">
        <v>51</v>
      </c>
      <c r="G4" s="148"/>
      <c r="H4" s="57">
        <f>'Card Data'!$C$5</f>
        <v>2646.07</v>
      </c>
      <c r="I4" s="1"/>
      <c r="J4" s="147" t="s">
        <v>40</v>
      </c>
      <c r="K4" s="148"/>
      <c r="L4" s="58">
        <f>'Card Data'!$C$7</f>
        <v>13.29</v>
      </c>
      <c r="N4" s="129" t="s">
        <v>49</v>
      </c>
      <c r="O4" s="130"/>
      <c r="P4" s="149">
        <f>24*3600/$L$4*$L$5*$H$4/$D$5/10000</f>
        <v>7.1797306165587393</v>
      </c>
    </row>
    <row r="5" spans="1:30" s="6" customFormat="1" ht="15.75" thickBot="1" x14ac:dyDescent="0.3">
      <c r="A5" s="132"/>
      <c r="B5" s="147" t="s">
        <v>47</v>
      </c>
      <c r="C5" s="148"/>
      <c r="D5" s="58">
        <f>'Card Data'!$C$4</f>
        <v>492.15100000000001</v>
      </c>
      <c r="E5" s="1"/>
      <c r="F5" s="147" t="s">
        <v>58</v>
      </c>
      <c r="G5" s="148"/>
      <c r="H5" s="57">
        <f>'Card Data'!$C$6</f>
        <v>13353.81</v>
      </c>
      <c r="I5" s="1"/>
      <c r="J5" s="147" t="s">
        <v>39</v>
      </c>
      <c r="K5" s="148"/>
      <c r="L5" s="59">
        <f>$H$5/(24*3600/$L$4)</f>
        <v>2.0540756354166665</v>
      </c>
      <c r="N5" s="153"/>
      <c r="O5" s="154"/>
      <c r="P5" s="150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2"/>
      <c r="V6"/>
      <c r="W6"/>
      <c r="X6"/>
      <c r="Y6"/>
      <c r="Z6"/>
      <c r="AA6"/>
      <c r="AB6"/>
      <c r="AC6"/>
      <c r="AD6"/>
    </row>
    <row r="7" spans="1:30" ht="15.75" thickBot="1" x14ac:dyDescent="0.3">
      <c r="A7" s="132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2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3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2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2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6.2482613918963894</v>
      </c>
      <c r="R12" s="35">
        <f t="shared" si="2"/>
        <v>7.9094467398704875</v>
      </c>
    </row>
    <row r="13" spans="1:30" ht="17.25" x14ac:dyDescent="0.25">
      <c r="A13" s="132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2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2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296.08236339141257</v>
      </c>
      <c r="R15" s="41">
        <f t="shared" si="7"/>
        <v>351.09914654352571</v>
      </c>
    </row>
    <row r="16" spans="1:30" ht="18" thickBot="1" x14ac:dyDescent="0.3">
      <c r="A16" s="132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1.2327650854282064</v>
      </c>
      <c r="R16" s="38">
        <f t="shared" si="9"/>
        <v>1.0395923874874786</v>
      </c>
    </row>
    <row r="17" spans="1:30" s="6" customFormat="1" x14ac:dyDescent="0.25">
      <c r="A17" s="132"/>
      <c r="B17" s="138" t="s">
        <v>42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40"/>
      <c r="V17"/>
      <c r="W17"/>
      <c r="X17"/>
      <c r="Y17"/>
      <c r="Z17"/>
      <c r="AA17"/>
      <c r="AB17"/>
      <c r="AC17"/>
      <c r="AD17"/>
    </row>
    <row r="18" spans="1:30" ht="15.75" x14ac:dyDescent="0.25">
      <c r="A18" s="132"/>
      <c r="B18" s="141" t="s">
        <v>44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</row>
    <row r="19" spans="1:30" ht="16.5" thickBot="1" x14ac:dyDescent="0.3">
      <c r="A19" s="133"/>
      <c r="B19" s="144" t="s">
        <v>43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/>
    </row>
    <row r="20" spans="1:30" ht="15.75" thickBot="1" x14ac:dyDescent="0.3"/>
    <row r="21" spans="1:30" ht="15.75" thickBot="1" x14ac:dyDescent="0.3">
      <c r="A21" s="131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32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2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32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6.0668082121906348</v>
      </c>
      <c r="R24" s="52">
        <f t="shared" si="12"/>
        <v>7.682630265238295</v>
      </c>
    </row>
    <row r="25" spans="1:30" x14ac:dyDescent="0.25">
      <c r="A25" s="132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304.93794023068222</v>
      </c>
      <c r="R25" s="49">
        <f t="shared" si="15"/>
        <v>361.46474633370434</v>
      </c>
    </row>
    <row r="26" spans="1:30" ht="15.75" thickBot="1" x14ac:dyDescent="0.3">
      <c r="A26" s="132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1.1969648634862602</v>
      </c>
      <c r="R26" s="56">
        <f t="shared" si="18"/>
        <v>1.0097803553518105</v>
      </c>
    </row>
    <row r="27" spans="1:30" ht="108.75" customHeight="1" thickBot="1" x14ac:dyDescent="0.3">
      <c r="A27" s="133"/>
      <c r="B27" s="134" t="s">
        <v>38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6"/>
    </row>
    <row r="28" spans="1:30" ht="15.75" thickBot="1" x14ac:dyDescent="0.3"/>
    <row r="29" spans="1:30" ht="15.75" thickBot="1" x14ac:dyDescent="0.3">
      <c r="A29" s="13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2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2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32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-0.23710495691999933</v>
      </c>
      <c r="R32" s="52">
        <f t="shared" si="21"/>
        <v>-0.19726119614999915</v>
      </c>
    </row>
    <row r="33" spans="1:18" x14ac:dyDescent="0.25">
      <c r="A33" s="13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2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-4.678016717610798E-2</v>
      </c>
      <c r="R34" s="56">
        <f t="shared" si="27"/>
        <v>-2.59273808407453E-2</v>
      </c>
    </row>
    <row r="35" spans="1:18" ht="80.25" customHeight="1" thickBot="1" x14ac:dyDescent="0.3">
      <c r="A35" s="133"/>
      <c r="B35" s="134" t="s">
        <v>48</v>
      </c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6"/>
    </row>
    <row r="36" spans="1:18" ht="15.75" thickBot="1" x14ac:dyDescent="0.3"/>
    <row r="37" spans="1:18" ht="15.75" thickBot="1" x14ac:dyDescent="0.3">
      <c r="A37" s="13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2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2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32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1.7349958541421702</v>
      </c>
      <c r="R40" s="52">
        <f>R39-R$11</f>
        <v>2.2678648176777125</v>
      </c>
    </row>
    <row r="41" spans="1:18" x14ac:dyDescent="0.25">
      <c r="A41" s="132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1066.2849686835079</v>
      </c>
      <c r="R41" s="49">
        <f>IF(R40&gt;0,R$13/R40,"N/A")</f>
        <v>1224.4997930889199</v>
      </c>
    </row>
    <row r="42" spans="1:18" ht="15.75" thickBot="1" x14ac:dyDescent="0.3">
      <c r="A42" s="132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0.342309992844266</v>
      </c>
      <c r="R42" s="14">
        <f t="shared" si="52"/>
        <v>0.29808089969476598</v>
      </c>
    </row>
    <row r="43" spans="1:18" ht="74.25" customHeight="1" thickBot="1" x14ac:dyDescent="0.3">
      <c r="A43" s="133"/>
      <c r="B43" s="134" t="s">
        <v>37</v>
      </c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6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A2" sqref="A2:B2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7" t="s">
        <v>77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20" x14ac:dyDescent="0.25">
      <c r="A2" s="152" t="s">
        <v>45</v>
      </c>
      <c r="B2" s="152"/>
      <c r="C2" s="123">
        <f>'Card Data'!$B$2</f>
        <v>44377</v>
      </c>
      <c r="D2" s="124"/>
      <c r="O2" s="151" t="s">
        <v>50</v>
      </c>
      <c r="P2" s="151"/>
      <c r="Q2" s="151"/>
      <c r="R2" s="151"/>
    </row>
    <row r="3" spans="1:20" ht="15.75" thickBot="1" x14ac:dyDescent="0.3"/>
    <row r="4" spans="1:20" ht="15.75" thickBot="1" x14ac:dyDescent="0.3">
      <c r="A4" s="131" t="s">
        <v>32</v>
      </c>
      <c r="B4" s="147" t="s">
        <v>57</v>
      </c>
      <c r="C4" s="148"/>
      <c r="D4" s="59">
        <f>'Electricity Calculations'!$F$5</f>
        <v>10.324999999999999</v>
      </c>
      <c r="E4" s="1"/>
      <c r="F4" s="147" t="s">
        <v>51</v>
      </c>
      <c r="G4" s="148"/>
      <c r="H4" s="57">
        <f>'Card Data'!$C$5</f>
        <v>2646.07</v>
      </c>
      <c r="I4" s="1"/>
      <c r="J4" s="147" t="s">
        <v>40</v>
      </c>
      <c r="K4" s="148"/>
      <c r="L4" s="58">
        <f>'Card Data'!$C$7</f>
        <v>13.29</v>
      </c>
      <c r="N4" s="129" t="s">
        <v>49</v>
      </c>
      <c r="O4" s="130"/>
      <c r="P4" s="149">
        <f>24*3600/$L$4*$L$5*$H$4/$D$5/10000</f>
        <v>7.1797306165587393</v>
      </c>
    </row>
    <row r="5" spans="1:20" ht="15.75" thickBot="1" x14ac:dyDescent="0.3">
      <c r="A5" s="132"/>
      <c r="B5" s="147" t="s">
        <v>47</v>
      </c>
      <c r="C5" s="148"/>
      <c r="D5" s="58">
        <f>'Card Data'!$C$4</f>
        <v>492.15100000000001</v>
      </c>
      <c r="E5" s="1"/>
      <c r="F5" s="147" t="s">
        <v>58</v>
      </c>
      <c r="G5" s="148"/>
      <c r="H5" s="57">
        <f>'Card Data'!$C$6</f>
        <v>13353.81</v>
      </c>
      <c r="I5" s="1"/>
      <c r="J5" s="147" t="s">
        <v>39</v>
      </c>
      <c r="K5" s="148"/>
      <c r="L5" s="59">
        <f>$H$5/(24*3600/$L$4)</f>
        <v>2.0540756354166665</v>
      </c>
      <c r="N5" s="153"/>
      <c r="O5" s="154"/>
      <c r="P5" s="150"/>
    </row>
    <row r="6" spans="1:20" ht="15.75" thickBot="1" x14ac:dyDescent="0.3">
      <c r="A6" s="132"/>
    </row>
    <row r="7" spans="1:20" ht="15.75" thickBot="1" x14ac:dyDescent="0.3">
      <c r="A7" s="13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32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3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2"/>
      <c r="B11" s="15" t="s">
        <v>56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2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32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1000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2200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2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2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338.61420358574634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543.22763611697746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33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1.0779228872706519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0.67190985092187339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31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3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2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32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32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349.11606325497263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559.95333742096091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33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1.0454975820846912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0.6518400295301765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31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2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32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3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3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-8.0998568082943617E-2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-4.5410972507818115E-2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31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2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32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32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1344.8202434871123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2113.304021323836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33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0.27141173831050969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0.17271532932178552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opLeftCell="B1" workbookViewId="0">
      <selection activeCell="E27" sqref="E2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5" t="s">
        <v>81</v>
      </c>
      <c r="B2" s="156"/>
      <c r="C2" s="157"/>
      <c r="E2" s="155" t="s">
        <v>82</v>
      </c>
      <c r="F2" s="157"/>
    </row>
    <row r="3" spans="1:6" ht="16.5" thickBot="1" x14ac:dyDescent="0.3">
      <c r="A3" s="112" t="s">
        <v>21</v>
      </c>
      <c r="B3" s="113" t="s">
        <v>83</v>
      </c>
      <c r="C3" s="114" t="s">
        <v>84</v>
      </c>
      <c r="E3" s="112" t="s">
        <v>21</v>
      </c>
      <c r="F3" s="115" t="s">
        <v>85</v>
      </c>
    </row>
    <row r="4" spans="1:6" x14ac:dyDescent="0.25">
      <c r="A4" s="116">
        <v>43926</v>
      </c>
      <c r="B4" s="117" t="s">
        <v>86</v>
      </c>
      <c r="C4" s="118">
        <v>150.97</v>
      </c>
      <c r="E4" s="119">
        <v>44290</v>
      </c>
      <c r="F4" s="121">
        <v>215.24</v>
      </c>
    </row>
    <row r="5" spans="1:6" x14ac:dyDescent="0.25">
      <c r="A5" s="119">
        <v>44262</v>
      </c>
      <c r="B5" s="120" t="s">
        <v>87</v>
      </c>
      <c r="C5" s="121">
        <v>19.86</v>
      </c>
      <c r="E5" s="119">
        <v>44310</v>
      </c>
      <c r="F5" s="121">
        <v>246.25</v>
      </c>
    </row>
    <row r="6" spans="1:6" x14ac:dyDescent="0.25">
      <c r="A6" s="119">
        <v>44263</v>
      </c>
      <c r="B6" s="120" t="s">
        <v>88</v>
      </c>
      <c r="C6" s="121">
        <v>18.11</v>
      </c>
      <c r="E6" s="119">
        <v>44318</v>
      </c>
      <c r="F6" s="121">
        <v>788.93</v>
      </c>
    </row>
    <row r="7" spans="1:6" x14ac:dyDescent="0.25">
      <c r="A7" s="119">
        <v>44264</v>
      </c>
      <c r="B7" s="120" t="s">
        <v>89</v>
      </c>
      <c r="C7" s="121">
        <v>7.99</v>
      </c>
      <c r="E7" s="119">
        <v>44328</v>
      </c>
      <c r="F7" s="121">
        <v>297</v>
      </c>
    </row>
    <row r="8" spans="1:6" x14ac:dyDescent="0.25">
      <c r="A8" s="119">
        <v>44271</v>
      </c>
      <c r="B8" s="120" t="s">
        <v>90</v>
      </c>
      <c r="C8" s="121">
        <v>16.89</v>
      </c>
      <c r="E8" s="119">
        <v>44328</v>
      </c>
      <c r="F8" s="121">
        <v>742.5</v>
      </c>
    </row>
    <row r="9" spans="1:6" x14ac:dyDescent="0.25">
      <c r="A9" s="119">
        <v>44271</v>
      </c>
      <c r="B9" s="120" t="s">
        <v>91</v>
      </c>
      <c r="C9" s="121">
        <v>60.07</v>
      </c>
      <c r="E9" s="119">
        <v>44333</v>
      </c>
      <c r="F9" s="121">
        <v>367.54</v>
      </c>
    </row>
    <row r="10" spans="1:6" x14ac:dyDescent="0.25">
      <c r="A10" s="119">
        <v>44272</v>
      </c>
      <c r="B10" s="120" t="s">
        <v>92</v>
      </c>
      <c r="C10" s="121">
        <v>889.1</v>
      </c>
      <c r="E10" s="119">
        <v>44339</v>
      </c>
      <c r="F10" s="121">
        <v>290.45</v>
      </c>
    </row>
    <row r="11" spans="1:6" x14ac:dyDescent="0.25">
      <c r="A11" s="119">
        <v>44275</v>
      </c>
      <c r="B11" s="120" t="s">
        <v>89</v>
      </c>
      <c r="C11" s="121">
        <v>15.98</v>
      </c>
      <c r="E11" s="119">
        <v>44358</v>
      </c>
      <c r="F11" s="121">
        <v>305.98</v>
      </c>
    </row>
    <row r="12" spans="1:6" x14ac:dyDescent="0.25">
      <c r="A12" s="119">
        <v>44324</v>
      </c>
      <c r="B12" s="120" t="s">
        <v>93</v>
      </c>
      <c r="C12" s="121">
        <v>50</v>
      </c>
      <c r="E12" s="119">
        <v>44371</v>
      </c>
      <c r="F12" s="121">
        <v>726.08</v>
      </c>
    </row>
    <row r="13" spans="1:6" x14ac:dyDescent="0.25">
      <c r="A13" s="119">
        <v>44320</v>
      </c>
      <c r="B13" s="120" t="s">
        <v>94</v>
      </c>
      <c r="C13" s="121">
        <v>1034.99</v>
      </c>
    </row>
    <row r="14" spans="1:6" x14ac:dyDescent="0.25">
      <c r="A14" s="119">
        <v>44320</v>
      </c>
      <c r="B14" s="120" t="s">
        <v>95</v>
      </c>
      <c r="C14" s="121">
        <v>927.88</v>
      </c>
      <c r="E14" s="6" t="s">
        <v>96</v>
      </c>
      <c r="F14" s="111">
        <f>SUM(F4:F13)</f>
        <v>3979.97</v>
      </c>
    </row>
    <row r="15" spans="1:6" x14ac:dyDescent="0.25">
      <c r="A15" s="119">
        <v>44332</v>
      </c>
      <c r="B15" s="120" t="s">
        <v>97</v>
      </c>
      <c r="C15" s="121">
        <v>80</v>
      </c>
    </row>
    <row r="16" spans="1:6" x14ac:dyDescent="0.25">
      <c r="A16" s="119">
        <v>44349</v>
      </c>
      <c r="B16" s="122" t="s">
        <v>98</v>
      </c>
      <c r="C16" s="121">
        <v>56.49</v>
      </c>
    </row>
    <row r="17" spans="1:3" x14ac:dyDescent="0.25">
      <c r="A17" s="119">
        <v>44367</v>
      </c>
      <c r="B17" s="122" t="s">
        <v>99</v>
      </c>
      <c r="C17" s="121">
        <v>50</v>
      </c>
    </row>
    <row r="18" spans="1:3" x14ac:dyDescent="0.25">
      <c r="A18" s="119">
        <v>44362</v>
      </c>
      <c r="B18" s="122" t="s">
        <v>100</v>
      </c>
      <c r="C18" s="121">
        <v>2.48</v>
      </c>
    </row>
    <row r="19" spans="1:3" x14ac:dyDescent="0.25">
      <c r="A19" s="119">
        <v>44366</v>
      </c>
      <c r="B19" s="122" t="s">
        <v>101</v>
      </c>
      <c r="C19" s="121">
        <v>1850</v>
      </c>
    </row>
    <row r="20" spans="1:3" x14ac:dyDescent="0.25">
      <c r="A20" s="119">
        <v>44368</v>
      </c>
      <c r="B20" s="122" t="s">
        <v>102</v>
      </c>
      <c r="C20" s="121">
        <v>20.95</v>
      </c>
    </row>
    <row r="21" spans="1:3" x14ac:dyDescent="0.25">
      <c r="A21" s="119">
        <v>44368</v>
      </c>
      <c r="B21" s="122" t="s">
        <v>103</v>
      </c>
      <c r="C21" s="121">
        <v>22.95</v>
      </c>
    </row>
    <row r="22" spans="1:3" x14ac:dyDescent="0.25">
      <c r="A22" s="119">
        <v>44368</v>
      </c>
      <c r="B22" s="122" t="s">
        <v>104</v>
      </c>
      <c r="C22" s="121">
        <v>20.25</v>
      </c>
    </row>
    <row r="23" spans="1:3" x14ac:dyDescent="0.25">
      <c r="A23" s="119">
        <v>44372</v>
      </c>
      <c r="B23" s="120" t="s">
        <v>89</v>
      </c>
      <c r="C23" s="121">
        <v>9.99</v>
      </c>
    </row>
    <row r="24" spans="1:3" x14ac:dyDescent="0.25">
      <c r="A24" s="109"/>
      <c r="B24" s="5"/>
      <c r="C24" s="110"/>
    </row>
    <row r="25" spans="1:3" x14ac:dyDescent="0.25">
      <c r="A25" s="109"/>
      <c r="B25" s="5"/>
      <c r="C25" s="110"/>
    </row>
    <row r="26" spans="1:3" x14ac:dyDescent="0.25">
      <c r="A26" s="109"/>
    </row>
    <row r="27" spans="1:3" x14ac:dyDescent="0.25">
      <c r="A27" s="109"/>
      <c r="B27" s="6" t="s">
        <v>96</v>
      </c>
      <c r="C27" s="111">
        <f>SUM(C4:C26)</f>
        <v>5304.9499999999989</v>
      </c>
    </row>
    <row r="28" spans="1:3" x14ac:dyDescent="0.25">
      <c r="A28" s="109"/>
    </row>
    <row r="29" spans="1:3" x14ac:dyDescent="0.25">
      <c r="A29" s="109"/>
    </row>
    <row r="30" spans="1:3" x14ac:dyDescent="0.25">
      <c r="A30" s="109"/>
    </row>
    <row r="31" spans="1:3" x14ac:dyDescent="0.25"/>
    <row r="32" spans="1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2021-06-30T04:34:38Z</cp:lastPrinted>
  <dcterms:created xsi:type="dcterms:W3CDTF">2021-03-17T05:33:13Z</dcterms:created>
  <dcterms:modified xsi:type="dcterms:W3CDTF">2021-07-02T17:33:09Z</dcterms:modified>
</cp:coreProperties>
</file>