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2363628C-A146-45E5-A7E1-5BBA4A61E4F3}" xr6:coauthVersionLast="47" xr6:coauthVersionMax="47" xr10:uidLastSave="{00000000-0000-0000-0000-000000000000}"/>
  <bookViews>
    <workbookView xWindow="-120" yWindow="-120" windowWidth="38640" windowHeight="2124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9" l="1"/>
  <c r="F28" i="9"/>
  <c r="E13" i="7"/>
  <c r="D13" i="7"/>
  <c r="C13" i="7"/>
  <c r="L4" i="3"/>
  <c r="H5" i="3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C30" i="9" l="1"/>
  <c r="J14" i="7"/>
  <c r="L5" i="3"/>
  <c r="P4" i="3" s="1"/>
  <c r="K14" i="7"/>
  <c r="P4" i="7"/>
  <c r="C8" i="7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L8" i="7"/>
  <c r="K8" i="7"/>
  <c r="R8" i="7"/>
  <c r="Q8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21" i="3" l="1"/>
  <c r="G8" i="3"/>
  <c r="G23" i="3" s="1"/>
  <c r="D8" i="3"/>
  <c r="D12" i="3" s="1"/>
  <c r="D16" i="3" s="1"/>
  <c r="K8" i="3"/>
  <c r="K31" i="3" s="1"/>
  <c r="N8" i="3"/>
  <c r="N31" i="3" s="1"/>
  <c r="Q8" i="3"/>
  <c r="Q23" i="3" s="1"/>
  <c r="L8" i="3"/>
  <c r="L39" i="3" s="1"/>
  <c r="O8" i="3"/>
  <c r="O39" i="3" s="1"/>
  <c r="C8" i="3"/>
  <c r="C39" i="3" s="1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M23" i="3" s="1"/>
  <c r="R8" i="3"/>
  <c r="R23" i="3" s="1"/>
  <c r="I8" i="3"/>
  <c r="I39" i="3" s="1"/>
  <c r="J8" i="3"/>
  <c r="J23" i="3" s="1"/>
  <c r="H8" i="7"/>
  <c r="H27" i="7" s="1"/>
  <c r="H28" i="7" s="1"/>
  <c r="H30" i="7" s="1"/>
  <c r="O8" i="7"/>
  <c r="O12" i="7" s="1"/>
  <c r="O16" i="7" s="1"/>
  <c r="F8" i="3"/>
  <c r="F23" i="3" s="1"/>
  <c r="H8" i="3"/>
  <c r="H31" i="3" s="1"/>
  <c r="E8" i="3"/>
  <c r="E23" i="3" s="1"/>
  <c r="P8" i="3"/>
  <c r="P31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7" i="7"/>
  <c r="I28" i="7" s="1"/>
  <c r="I30" i="7" s="1"/>
  <c r="I34" i="7"/>
  <c r="I35" i="7" s="1"/>
  <c r="I37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P11" i="3"/>
  <c r="H11" i="3"/>
  <c r="K11" i="3"/>
  <c r="K12" i="3" s="1"/>
  <c r="K16" i="3" s="1"/>
  <c r="N11" i="3"/>
  <c r="J11" i="3"/>
  <c r="M11" i="3"/>
  <c r="E11" i="3"/>
  <c r="C11" i="3"/>
  <c r="O11" i="3"/>
  <c r="I11" i="3"/>
  <c r="G11" i="3"/>
  <c r="G12" i="3" s="1"/>
  <c r="G16" i="3" s="1"/>
  <c r="R11" i="3"/>
  <c r="F11" i="3"/>
  <c r="L11" i="3"/>
  <c r="G39" i="3"/>
  <c r="K39" i="3"/>
  <c r="K23" i="3"/>
  <c r="G31" i="3" l="1"/>
  <c r="O23" i="3"/>
  <c r="Q31" i="3"/>
  <c r="N23" i="3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J39" i="3"/>
  <c r="J40" i="3" s="1"/>
  <c r="N32" i="3"/>
  <c r="N34" i="3" s="1"/>
  <c r="M24" i="3"/>
  <c r="M25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I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N29" i="7"/>
  <c r="M15" i="7"/>
  <c r="E29" i="7"/>
  <c r="K36" i="7"/>
  <c r="D29" i="7"/>
  <c r="G15" i="7"/>
  <c r="E22" i="7"/>
  <c r="L22" i="7"/>
  <c r="J29" i="7"/>
  <c r="C22" i="7"/>
  <c r="N22" i="7"/>
  <c r="D15" i="7"/>
  <c r="L36" i="7"/>
  <c r="K15" i="7"/>
  <c r="D36" i="7"/>
  <c r="G22" i="7"/>
  <c r="L29" i="7"/>
  <c r="G32" i="3"/>
  <c r="G40" i="3"/>
  <c r="G42" i="3" s="1"/>
  <c r="G15" i="3"/>
  <c r="R12" i="3"/>
  <c r="R16" i="3" s="1"/>
  <c r="G24" i="3"/>
  <c r="G26" i="3" s="1"/>
  <c r="R24" i="3"/>
  <c r="R26" i="3" s="1"/>
  <c r="P32" i="3"/>
  <c r="P34" i="3" s="1"/>
  <c r="Q32" i="3"/>
  <c r="M40" i="3"/>
  <c r="M42" i="3" s="1"/>
  <c r="O24" i="3"/>
  <c r="Q24" i="3"/>
  <c r="Q12" i="3"/>
  <c r="Q16" i="3" s="1"/>
  <c r="P12" i="3"/>
  <c r="P16" i="3" s="1"/>
  <c r="N24" i="3"/>
  <c r="N12" i="3"/>
  <c r="N16" i="3" s="1"/>
  <c r="J24" i="3"/>
  <c r="O40" i="3"/>
  <c r="O42" i="3" s="1"/>
  <c r="H32" i="3"/>
  <c r="H34" i="3" s="1"/>
  <c r="I12" i="3"/>
  <c r="M12" i="3"/>
  <c r="K15" i="3"/>
  <c r="K40" i="3"/>
  <c r="K42" i="3" s="1"/>
  <c r="H24" i="3"/>
  <c r="L40" i="3"/>
  <c r="F12" i="3"/>
  <c r="O12" i="3"/>
  <c r="O16" i="3" s="1"/>
  <c r="K32" i="3"/>
  <c r="C12" i="3"/>
  <c r="C16" i="3" s="1"/>
  <c r="C40" i="3"/>
  <c r="C42" i="3" s="1"/>
  <c r="K24" i="3"/>
  <c r="E12" i="3"/>
  <c r="E16" i="3" s="1"/>
  <c r="E24" i="3"/>
  <c r="E26" i="3" s="1"/>
  <c r="D41" i="3" l="1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<sst xmlns="http://schemas.openxmlformats.org/spreadsheetml/2006/main" count="2292" uniqueCount="113">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</sst>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N19" sqref="N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7.85546875" customWidth="1"/>
    <col min="16" max="16" width="11.5703125" style="6" bestFit="1" customWidth="1"/>
    <col min="17" max="17" width="7.85546875" customWidth="1"/>
    <col min="18" max="19" width="7.85546875" style="6" customWidth="1"/>
    <col min="20" max="20" width="7.85546875" customWidth="1"/>
    <col min="21" max="22" width="7.85546875" style="6" customWidth="1"/>
    <col min="23" max="23" width="9.140625" customWidth="1"/>
  </cols>
  <sheetData>
    <row r="1" spans="1:23" s="6" customFormat="1" x14ac:dyDescent="0.25"/>
    <row r="2" spans="1:23" s="6" customFormat="1" x14ac:dyDescent="0.25">
      <c r="A2" s="81" t="s">
        <v>63</v>
      </c>
      <c r="B2" s="126">
        <v>44377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47</v>
      </c>
      <c r="B4" s="133"/>
      <c r="C4" s="58">
        <v>492.15100000000001</v>
      </c>
      <c r="D4" s="1"/>
      <c r="H4" s="1"/>
    </row>
    <row r="5" spans="1:23" ht="15.75" thickBot="1" x14ac:dyDescent="0.3">
      <c r="A5" s="128" t="s">
        <v>51</v>
      </c>
      <c r="B5" s="129"/>
      <c r="C5" s="57">
        <v>2646.07</v>
      </c>
    </row>
    <row r="6" spans="1:23" s="6" customFormat="1" ht="15.75" thickBot="1" x14ac:dyDescent="0.3">
      <c r="A6" s="128" t="s">
        <v>58</v>
      </c>
      <c r="B6" s="129"/>
      <c r="C6" s="57">
        <v>13353.81</v>
      </c>
    </row>
    <row r="7" spans="1:23" s="6" customFormat="1" ht="15.75" thickBot="1" x14ac:dyDescent="0.3">
      <c r="A7" s="130" t="s">
        <v>40</v>
      </c>
      <c r="B7" s="131"/>
      <c r="C7" s="58">
        <v>13.29</v>
      </c>
    </row>
    <row r="8" spans="1:23" s="6" customFormat="1" ht="15.75" thickBot="1" x14ac:dyDescent="0.3"/>
    <row r="9" spans="1:23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>
        <v>3060</v>
      </c>
      <c r="O9" s="100" t="s">
        <v>12</v>
      </c>
      <c r="P9" s="100" t="s">
        <v>105</v>
      </c>
      <c r="Q9" s="100">
        <v>3070</v>
      </c>
      <c r="R9" s="100" t="s">
        <v>106</v>
      </c>
      <c r="S9" s="100" t="s">
        <v>109</v>
      </c>
      <c r="T9" s="100">
        <v>3080</v>
      </c>
      <c r="U9" s="122" t="s">
        <v>107</v>
      </c>
      <c r="V9" s="122" t="s">
        <v>108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B29" sqref="B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0" t="s">
        <v>80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30" s="6" customFormat="1" x14ac:dyDescent="0.25">
      <c r="A2" s="155" t="s">
        <v>45</v>
      </c>
      <c r="B2" s="155"/>
      <c r="C2" s="126">
        <f>'Card Data'!$B$2</f>
        <v>44377</v>
      </c>
      <c r="D2" s="127"/>
      <c r="E2"/>
      <c r="O2" s="154" t="s">
        <v>50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4" t="s">
        <v>32</v>
      </c>
      <c r="B4" s="150" t="s">
        <v>57</v>
      </c>
      <c r="C4" s="151"/>
      <c r="D4" s="59">
        <f>'Electricity Calculations'!$F$5</f>
        <v>10.324999999999999</v>
      </c>
      <c r="E4" s="1"/>
      <c r="F4" s="150" t="s">
        <v>51</v>
      </c>
      <c r="G4" s="151"/>
      <c r="H4" s="57">
        <f>'Card Data'!$C$5</f>
        <v>2646.07</v>
      </c>
      <c r="I4" s="1"/>
      <c r="J4" s="150" t="s">
        <v>40</v>
      </c>
      <c r="K4" s="151"/>
      <c r="L4" s="58">
        <f>'Card Data'!$C$7</f>
        <v>13.29</v>
      </c>
      <c r="N4" s="132" t="s">
        <v>49</v>
      </c>
      <c r="O4" s="133"/>
      <c r="P4" s="152">
        <f>24*3600/$L$4*$L$5*$H$4/$D$5/10000</f>
        <v>7.1797306165587393</v>
      </c>
    </row>
    <row r="5" spans="1:30" s="6" customFormat="1" ht="15.75" thickBot="1" x14ac:dyDescent="0.3">
      <c r="A5" s="135"/>
      <c r="B5" s="150" t="s">
        <v>47</v>
      </c>
      <c r="C5" s="151"/>
      <c r="D5" s="58">
        <f>'Card Data'!$C$4</f>
        <v>492.15100000000001</v>
      </c>
      <c r="E5" s="1"/>
      <c r="F5" s="150" t="s">
        <v>58</v>
      </c>
      <c r="G5" s="151"/>
      <c r="H5" s="57">
        <f>'Card Data'!$C$6</f>
        <v>13353.81</v>
      </c>
      <c r="I5" s="1"/>
      <c r="J5" s="150" t="s">
        <v>39</v>
      </c>
      <c r="K5" s="151"/>
      <c r="L5" s="59">
        <f>$H$5/(24*3600/$L$4)</f>
        <v>2.0540756354166665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5"/>
      <c r="V6"/>
      <c r="W6"/>
      <c r="X6"/>
      <c r="Y6"/>
      <c r="Z6"/>
      <c r="AA6"/>
      <c r="AB6"/>
      <c r="AC6"/>
      <c r="AD6"/>
    </row>
    <row r="7" spans="1:30" ht="15.75" thickBot="1" x14ac:dyDescent="0.3">
      <c r="A7" s="135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5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35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5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5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5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6.2482613918963894</v>
      </c>
      <c r="R12" s="35">
        <f t="shared" si="2"/>
        <v>7.9094467398704875</v>
      </c>
    </row>
    <row r="13" spans="1:30" ht="17.25" x14ac:dyDescent="0.25">
      <c r="A13" s="135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5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5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296.08236339141257</v>
      </c>
      <c r="R15" s="41">
        <f t="shared" si="7"/>
        <v>351.09914654352571</v>
      </c>
    </row>
    <row r="16" spans="1:30" ht="18" thickBot="1" x14ac:dyDescent="0.3">
      <c r="A16" s="135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1.2327650854282064</v>
      </c>
      <c r="R16" s="38">
        <f t="shared" si="9"/>
        <v>1.0395923874874786</v>
      </c>
    </row>
    <row r="17" spans="1:30" s="6" customFormat="1" x14ac:dyDescent="0.25">
      <c r="A17" s="135"/>
      <c r="B17" s="141" t="s">
        <v>42</v>
      </c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3"/>
      <c r="V17"/>
      <c r="W17"/>
      <c r="X17"/>
      <c r="Y17"/>
      <c r="Z17"/>
      <c r="AA17"/>
      <c r="AB17"/>
      <c r="AC17"/>
      <c r="AD17"/>
    </row>
    <row r="18" spans="1:30" ht="15.75" x14ac:dyDescent="0.25">
      <c r="A18" s="135"/>
      <c r="B18" s="144" t="s">
        <v>44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36"/>
      <c r="B19" s="147" t="s">
        <v>43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34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35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5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35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6.0668082121906348</v>
      </c>
      <c r="R24" s="52">
        <f t="shared" si="12"/>
        <v>7.682630265238295</v>
      </c>
    </row>
    <row r="25" spans="1:30" x14ac:dyDescent="0.25">
      <c r="A25" s="135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304.93794023068222</v>
      </c>
      <c r="R25" s="49">
        <f t="shared" si="15"/>
        <v>361.46474633370434</v>
      </c>
    </row>
    <row r="26" spans="1:30" ht="15.75" thickBot="1" x14ac:dyDescent="0.3">
      <c r="A26" s="135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1.1969648634862602</v>
      </c>
      <c r="R26" s="56">
        <f t="shared" si="18"/>
        <v>1.0097803553518105</v>
      </c>
    </row>
    <row r="27" spans="1:30" ht="108.75" customHeight="1" thickBot="1" x14ac:dyDescent="0.3">
      <c r="A27" s="136"/>
      <c r="B27" s="137" t="s">
        <v>38</v>
      </c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9"/>
    </row>
    <row r="28" spans="1:30" ht="15.75" thickBot="1" x14ac:dyDescent="0.3"/>
    <row r="29" spans="1:30" ht="15.75" thickBot="1" x14ac:dyDescent="0.3">
      <c r="A29" s="134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5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5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35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-0.23710495691999933</v>
      </c>
      <c r="R32" s="52">
        <f t="shared" si="21"/>
        <v>-0.19726119614999915</v>
      </c>
    </row>
    <row r="33" spans="1:18" x14ac:dyDescent="0.25">
      <c r="A33" s="135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5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-4.678016717610798E-2</v>
      </c>
      <c r="R34" s="56">
        <f t="shared" si="27"/>
        <v>-2.59273808407453E-2</v>
      </c>
    </row>
    <row r="35" spans="1:18" ht="80.25" customHeight="1" thickBot="1" x14ac:dyDescent="0.3">
      <c r="A35" s="136"/>
      <c r="B35" s="137" t="s">
        <v>48</v>
      </c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9"/>
    </row>
    <row r="36" spans="1:18" ht="15.75" thickBot="1" x14ac:dyDescent="0.3"/>
    <row r="37" spans="1:18" ht="15.75" thickBot="1" x14ac:dyDescent="0.3">
      <c r="A37" s="134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5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5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35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1.7349958541421702</v>
      </c>
      <c r="R40" s="52">
        <f>R39-R$11</f>
        <v>2.2678648176777125</v>
      </c>
    </row>
    <row r="41" spans="1:18" x14ac:dyDescent="0.25">
      <c r="A41" s="135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1066.2849686835079</v>
      </c>
      <c r="R41" s="49">
        <f>IF(R40&gt;0,R$13/R40,"N/A")</f>
        <v>1224.4997930889199</v>
      </c>
    </row>
    <row r="42" spans="1:18" ht="15.75" thickBot="1" x14ac:dyDescent="0.3">
      <c r="A42" s="135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0.342309992844266</v>
      </c>
      <c r="R42" s="14">
        <f t="shared" si="52"/>
        <v>0.29808089969476598</v>
      </c>
    </row>
    <row r="43" spans="1:18" ht="74.25" customHeight="1" thickBot="1" x14ac:dyDescent="0.3">
      <c r="A43" s="136"/>
      <c r="B43" s="137" t="s">
        <v>37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9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I13" sqref="I13:O13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0" t="s">
        <v>77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20" x14ac:dyDescent="0.25">
      <c r="A2" s="155" t="s">
        <v>45</v>
      </c>
      <c r="B2" s="155"/>
      <c r="C2" s="126">
        <f>'Card Data'!$B$2</f>
        <v>44377</v>
      </c>
      <c r="D2" s="127"/>
      <c r="O2" s="154" t="s">
        <v>50</v>
      </c>
      <c r="P2" s="154"/>
      <c r="Q2" s="154"/>
      <c r="R2" s="154"/>
    </row>
    <row r="3" spans="1:20" ht="15.75" thickBot="1" x14ac:dyDescent="0.3"/>
    <row r="4" spans="1:20" ht="15.75" thickBot="1" x14ac:dyDescent="0.3">
      <c r="A4" s="134" t="s">
        <v>32</v>
      </c>
      <c r="B4" s="150" t="s">
        <v>57</v>
      </c>
      <c r="C4" s="151"/>
      <c r="D4" s="59">
        <f>'Electricity Calculations'!$F$5</f>
        <v>10.324999999999999</v>
      </c>
      <c r="E4" s="1"/>
      <c r="F4" s="150" t="s">
        <v>51</v>
      </c>
      <c r="G4" s="151"/>
      <c r="H4" s="57">
        <f>'Card Data'!$C$5</f>
        <v>2646.07</v>
      </c>
      <c r="I4" s="1"/>
      <c r="J4" s="150" t="s">
        <v>40</v>
      </c>
      <c r="K4" s="151"/>
      <c r="L4" s="58">
        <f>'Card Data'!$C$7</f>
        <v>13.29</v>
      </c>
      <c r="N4" s="132" t="s">
        <v>49</v>
      </c>
      <c r="O4" s="133"/>
      <c r="P4" s="152">
        <f>24*3600/$L$4*$L$5*$H$4/$D$5/10000</f>
        <v>7.1797306165587393</v>
      </c>
    </row>
    <row r="5" spans="1:20" ht="15.75" thickBot="1" x14ac:dyDescent="0.3">
      <c r="A5" s="135"/>
      <c r="B5" s="150" t="s">
        <v>47</v>
      </c>
      <c r="C5" s="151"/>
      <c r="D5" s="58">
        <f>'Card Data'!$C$4</f>
        <v>492.15100000000001</v>
      </c>
      <c r="E5" s="1"/>
      <c r="F5" s="150" t="s">
        <v>58</v>
      </c>
      <c r="G5" s="151"/>
      <c r="H5" s="57">
        <f>'Card Data'!$C$6</f>
        <v>13353.81</v>
      </c>
      <c r="I5" s="1"/>
      <c r="J5" s="150" t="s">
        <v>39</v>
      </c>
      <c r="K5" s="151"/>
      <c r="L5" s="59">
        <f>$H$5/(24*3600/$L$4)</f>
        <v>2.0540756354166665</v>
      </c>
      <c r="N5" s="156"/>
      <c r="O5" s="157"/>
      <c r="P5" s="153"/>
    </row>
    <row r="6" spans="1:20" ht="15.75" thickBot="1" x14ac:dyDescent="0.3">
      <c r="A6" s="135"/>
    </row>
    <row r="7" spans="1:20" ht="15.75" thickBot="1" x14ac:dyDescent="0.3">
      <c r="A7" s="135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35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35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5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5"/>
      <c r="B11" s="15" t="s">
        <v>56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5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35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5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5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270.89136286859707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395.07464444871084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36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1.3474036090883148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0.92387604501757592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34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35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5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35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35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279.29285060397808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407.23879085160792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36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1.3068719776058639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0.89628004060399258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34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5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5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35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35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6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-0.10124821010367953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-6.2440087198249908E-2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34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5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5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35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35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1075.8561947896897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1536.948379144608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36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0.33926467288813711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0.23748357781745508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abSelected="1" workbookViewId="0">
      <selection activeCell="F16" sqref="F16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81</v>
      </c>
      <c r="B2" s="159"/>
      <c r="C2" s="160"/>
      <c r="E2" s="158" t="s">
        <v>82</v>
      </c>
      <c r="F2" s="160"/>
    </row>
    <row r="3" spans="1:6" ht="16.5" thickBot="1" x14ac:dyDescent="0.3">
      <c r="A3" s="111" t="s">
        <v>21</v>
      </c>
      <c r="B3" s="112" t="s">
        <v>83</v>
      </c>
      <c r="C3" s="113" t="s">
        <v>84</v>
      </c>
      <c r="E3" s="111" t="s">
        <v>21</v>
      </c>
      <c r="F3" s="114" t="s">
        <v>85</v>
      </c>
    </row>
    <row r="4" spans="1:6" x14ac:dyDescent="0.25">
      <c r="A4" s="115">
        <v>43926</v>
      </c>
      <c r="B4" s="116" t="s">
        <v>86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87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88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89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90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91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92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89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93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94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95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97</v>
      </c>
      <c r="C15" s="120">
        <v>80</v>
      </c>
      <c r="E15" s="118"/>
      <c r="F15" s="120"/>
    </row>
    <row r="16" spans="1:6" x14ac:dyDescent="0.25">
      <c r="A16" s="118">
        <v>44349</v>
      </c>
      <c r="B16" s="121" t="s">
        <v>98</v>
      </c>
      <c r="C16" s="120">
        <v>56.49</v>
      </c>
      <c r="E16" s="118"/>
      <c r="F16" s="120"/>
    </row>
    <row r="17" spans="1:6" x14ac:dyDescent="0.25">
      <c r="A17" s="118">
        <v>44367</v>
      </c>
      <c r="B17" s="121" t="s">
        <v>99</v>
      </c>
      <c r="C17" s="120">
        <v>50</v>
      </c>
      <c r="E17" s="118"/>
      <c r="F17" s="120"/>
    </row>
    <row r="18" spans="1:6" x14ac:dyDescent="0.25">
      <c r="A18" s="118">
        <v>44362</v>
      </c>
      <c r="B18" s="121" t="s">
        <v>100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101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102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103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104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89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112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111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96</v>
      </c>
      <c r="C28" s="110">
        <f>SUM(C4:C27)</f>
        <v>5404.9499999999989</v>
      </c>
      <c r="E28" s="6" t="s">
        <v>96</v>
      </c>
      <c r="F28" s="110">
        <f>SUM(F4:F27)</f>
        <v>4637.46</v>
      </c>
    </row>
    <row r="29" spans="1:6" x14ac:dyDescent="0.25">
      <c r="A29" s="109"/>
    </row>
    <row r="30" spans="1:6" x14ac:dyDescent="0.25">
      <c r="A30" s="109"/>
      <c r="B30" s="6" t="s">
        <v>110</v>
      </c>
      <c r="C30" s="110">
        <f>C28-F28</f>
        <v>767.48999999999887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2021-06-30T04:34:38Z</cp:lastPrinted>
  <dcterms:created xsi:type="dcterms:W3CDTF">2021-03-17T05:33:13Z</dcterms:created>
  <dcterms:modified xsi:type="dcterms:W3CDTF">2021-08-03T02:54:47Z</dcterms:modified>
</cp:coreProperties>
</file>