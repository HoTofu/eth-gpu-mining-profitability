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77E4AF1F-66EB-4923-9751-B4027BD84134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N34" i="7" l="1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K16" i="3" l="1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<sst xmlns="http://schemas.openxmlformats.org/spreadsheetml/2006/main" count="2296" uniqueCount="120">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</sst>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Y15" sqref="Y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44438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644.35900000000004</v>
      </c>
      <c r="D4" s="1"/>
      <c r="H4" s="1"/>
    </row>
    <row r="5" spans="1:23" ht="15.75" thickBot="1" x14ac:dyDescent="0.3">
      <c r="A5" s="131" t="s">
        <v>115</v>
      </c>
      <c r="B5" s="132"/>
      <c r="C5" s="57">
        <v>3997.01</v>
      </c>
    </row>
    <row r="6" spans="1:23" s="6" customFormat="1" ht="15.75" thickBot="1" x14ac:dyDescent="0.3">
      <c r="A6" s="131" t="s">
        <v>111</v>
      </c>
      <c r="B6" s="132"/>
      <c r="C6" s="57">
        <v>15675</v>
      </c>
    </row>
    <row r="7" spans="1:23" s="6" customFormat="1" ht="15.75" thickBot="1" x14ac:dyDescent="0.3">
      <c r="A7" s="133" t="s">
        <v>114</v>
      </c>
      <c r="B7" s="134"/>
      <c r="C7" s="57">
        <v>6489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E15" sqref="E15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7" t="s">
        <v>78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30" s="6" customFormat="1" x14ac:dyDescent="0.25">
      <c r="A2" s="155" t="s">
        <v>44</v>
      </c>
      <c r="B2" s="155"/>
      <c r="C2" s="129">
        <f>'Card Data'!$B$2</f>
        <v>44438</v>
      </c>
      <c r="D2" s="130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3997.01</v>
      </c>
      <c r="I4" s="1"/>
      <c r="J4" s="150" t="s">
        <v>113</v>
      </c>
      <c r="K4" s="151"/>
      <c r="L4" s="57">
        <f>'Card Data'!$C$7</f>
        <v>6489</v>
      </c>
      <c r="N4" s="135" t="s">
        <v>48</v>
      </c>
      <c r="O4" s="136"/>
      <c r="P4" s="152">
        <f>$L$4*$L$5*$H$4/$D$5/10000</f>
        <v>9.72332686437219</v>
      </c>
    </row>
    <row r="5" spans="1:30" s="6" customFormat="1" ht="15.75" thickBot="1" x14ac:dyDescent="0.3">
      <c r="A5" s="142"/>
      <c r="B5" s="150" t="s">
        <v>46</v>
      </c>
      <c r="C5" s="151"/>
      <c r="D5" s="58">
        <f>'Card Data'!$C$4</f>
        <v>644.35900000000004</v>
      </c>
      <c r="E5" s="1"/>
      <c r="F5" s="150" t="s">
        <v>112</v>
      </c>
      <c r="G5" s="151"/>
      <c r="H5" s="57">
        <f>'Card Data'!$C$6</f>
        <v>15675</v>
      </c>
      <c r="I5" s="1"/>
      <c r="J5" s="150" t="s">
        <v>39</v>
      </c>
      <c r="K5" s="151"/>
      <c r="L5" s="59">
        <f>$H$5/$L$4</f>
        <v>2.4156264447526583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2"/>
      <c r="V6"/>
      <c r="W6"/>
      <c r="X6"/>
      <c r="Y6"/>
      <c r="Z6"/>
      <c r="AA6"/>
      <c r="AB6"/>
      <c r="AC6"/>
      <c r="AD6"/>
    </row>
    <row r="7" spans="1:30" ht="15.75" thickBot="1" x14ac:dyDescent="0.3">
      <c r="A7" s="142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2"/>
      <c r="B8" s="26" t="s">
        <v>51</v>
      </c>
      <c r="C8" s="61">
        <f>$P$4*C9/100</f>
        <v>2.9169980593116573</v>
      </c>
      <c r="D8" s="83">
        <f>$P$4*D9/100</f>
        <v>3.1017412697347284</v>
      </c>
      <c r="E8" s="27">
        <f t="shared" ref="E8:R8" si="0">$P$4*E9/100</f>
        <v>3.3059311338865442</v>
      </c>
      <c r="F8" s="27">
        <f t="shared" si="0"/>
        <v>4.4727303576112076</v>
      </c>
      <c r="G8" s="27">
        <f t="shared" si="0"/>
        <v>2.9169980593116573</v>
      </c>
      <c r="H8" s="27">
        <f t="shared" si="0"/>
        <v>3.1114645965991006</v>
      </c>
      <c r="I8" s="27">
        <f t="shared" si="0"/>
        <v>4.1081056001972502</v>
      </c>
      <c r="J8" s="27">
        <f t="shared" si="0"/>
        <v>4.2782638203237635</v>
      </c>
      <c r="K8" s="27">
        <f t="shared" si="0"/>
        <v>4.1810305516800419</v>
      </c>
      <c r="L8" s="27">
        <f t="shared" si="0"/>
        <v>4.1810305516800419</v>
      </c>
      <c r="M8" s="27">
        <f t="shared" si="0"/>
        <v>4.1032439367650646</v>
      </c>
      <c r="N8" s="27">
        <f t="shared" si="0"/>
        <v>5.7562095037083374</v>
      </c>
      <c r="O8" s="27">
        <f t="shared" si="0"/>
        <v>5.8826127529451755</v>
      </c>
      <c r="P8" s="27">
        <f t="shared" si="0"/>
        <v>5.8884467490637986</v>
      </c>
      <c r="Q8" s="27">
        <f t="shared" si="0"/>
        <v>9.0426939838661369</v>
      </c>
      <c r="R8" s="28">
        <f t="shared" si="0"/>
        <v>11.667992237246629</v>
      </c>
      <c r="S8" s="2"/>
    </row>
    <row r="9" spans="1:30" x14ac:dyDescent="0.25">
      <c r="A9" s="14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4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2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2"/>
      <c r="B12" s="29" t="s">
        <v>52</v>
      </c>
      <c r="C12" s="33">
        <f t="shared" ref="C12:R12" si="2">C8-C11</f>
        <v>2.6196380593116575</v>
      </c>
      <c r="D12" s="87">
        <f t="shared" ref="D12" si="3">D8-D11</f>
        <v>2.7672112697347284</v>
      </c>
      <c r="E12" s="34">
        <f t="shared" si="2"/>
        <v>2.8846711338865445</v>
      </c>
      <c r="F12" s="34">
        <f t="shared" si="2"/>
        <v>3.8780103576112079</v>
      </c>
      <c r="G12" s="34">
        <f t="shared" ref="G12" si="4">G8-G11</f>
        <v>2.6939780593116573</v>
      </c>
      <c r="H12" s="34">
        <f>H8-H11</f>
        <v>2.8884445965991006</v>
      </c>
      <c r="I12" s="34">
        <f t="shared" si="2"/>
        <v>3.8355256001972502</v>
      </c>
      <c r="J12" s="34">
        <f t="shared" si="2"/>
        <v>3.9809038203237637</v>
      </c>
      <c r="K12" s="34">
        <f t="shared" si="2"/>
        <v>3.8712805516800417</v>
      </c>
      <c r="L12" s="34">
        <f t="shared" si="2"/>
        <v>3.9134065516800418</v>
      </c>
      <c r="M12" s="34">
        <f t="shared" si="2"/>
        <v>3.7563239367650647</v>
      </c>
      <c r="N12" s="34">
        <f t="shared" si="2"/>
        <v>5.1862695037083375</v>
      </c>
      <c r="O12" s="34">
        <f t="shared" si="2"/>
        <v>5.5852527529451752</v>
      </c>
      <c r="P12" s="34">
        <f t="shared" si="2"/>
        <v>5.5910867490637983</v>
      </c>
      <c r="Q12" s="34">
        <f t="shared" si="2"/>
        <v>8.3984139838661367</v>
      </c>
      <c r="R12" s="35">
        <f t="shared" si="2"/>
        <v>10.96176223724663</v>
      </c>
    </row>
    <row r="13" spans="1:30" ht="17.25" x14ac:dyDescent="0.25">
      <c r="A13" s="142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42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42"/>
      <c r="B15" s="15" t="s">
        <v>54</v>
      </c>
      <c r="C15" s="39">
        <f t="shared" ref="C15:D15" si="6">C13/C12</f>
        <v>202.31802562040349</v>
      </c>
      <c r="D15" s="90">
        <f t="shared" si="6"/>
        <v>198.75605668978224</v>
      </c>
      <c r="E15" s="40">
        <f t="shared" ref="E15:R15" si="7">E13/E12</f>
        <v>190.66298183494484</v>
      </c>
      <c r="F15" s="40">
        <f t="shared" si="7"/>
        <v>219.18456157079126</v>
      </c>
      <c r="G15" s="40">
        <f t="shared" ref="G15" si="8">G13/G12</f>
        <v>241.27887669808362</v>
      </c>
      <c r="H15" s="40">
        <f t="shared" si="7"/>
        <v>259.65531791160601</v>
      </c>
      <c r="I15" s="40">
        <f t="shared" si="7"/>
        <v>221.61239126034954</v>
      </c>
      <c r="J15" s="40">
        <f t="shared" si="7"/>
        <v>226.07931279455119</v>
      </c>
      <c r="K15" s="40">
        <f>K13/K12</f>
        <v>245.39683634856252</v>
      </c>
      <c r="L15" s="40">
        <f t="shared" si="7"/>
        <v>242.75525362734444</v>
      </c>
      <c r="M15" s="40">
        <f t="shared" si="7"/>
        <v>292.83949374912453</v>
      </c>
      <c r="N15" s="40">
        <f t="shared" si="7"/>
        <v>231.3801855345088</v>
      </c>
      <c r="O15" s="40">
        <f t="shared" si="7"/>
        <v>268.56439025235352</v>
      </c>
      <c r="P15" s="40">
        <f t="shared" si="7"/>
        <v>312.99818417108793</v>
      </c>
      <c r="Q15" s="40">
        <f t="shared" si="7"/>
        <v>279.81473698658971</v>
      </c>
      <c r="R15" s="41">
        <f t="shared" si="7"/>
        <v>319.2917273928328</v>
      </c>
    </row>
    <row r="16" spans="1:30" ht="18" thickBot="1" x14ac:dyDescent="0.3">
      <c r="A16" s="142"/>
      <c r="B16" s="8" t="s">
        <v>40</v>
      </c>
      <c r="C16" s="36">
        <f>IFERROR(C12*365/C13,"N/A")</f>
        <v>1.8040903616014246</v>
      </c>
      <c r="D16" s="91">
        <f t="shared" ref="D16:R16" si="9">IFERROR(D12*365/D13,"N/A")</f>
        <v>1.8364220244603198</v>
      </c>
      <c r="E16" s="37">
        <f t="shared" si="9"/>
        <v>1.9143726615792522</v>
      </c>
      <c r="F16" s="37">
        <f t="shared" si="9"/>
        <v>1.6652632712095186</v>
      </c>
      <c r="G16" s="37">
        <f t="shared" si="9"/>
        <v>1.5127722948442384</v>
      </c>
      <c r="H16" s="37">
        <f t="shared" si="9"/>
        <v>1.4057097036782289</v>
      </c>
      <c r="I16" s="37">
        <f t="shared" si="9"/>
        <v>1.6470198165552898</v>
      </c>
      <c r="J16" s="37">
        <f t="shared" si="9"/>
        <v>1.6144776604646374</v>
      </c>
      <c r="K16" s="37">
        <f t="shared" si="9"/>
        <v>1.4873867382770687</v>
      </c>
      <c r="L16" s="37">
        <f t="shared" si="9"/>
        <v>1.5035719909086476</v>
      </c>
      <c r="M16" s="37">
        <f t="shared" si="9"/>
        <v>1.2464165790174988</v>
      </c>
      <c r="N16" s="37">
        <f t="shared" si="9"/>
        <v>1.5774903073779525</v>
      </c>
      <c r="O16" s="37">
        <f t="shared" si="9"/>
        <v>1.3590781698833261</v>
      </c>
      <c r="P16" s="37">
        <f t="shared" si="9"/>
        <v>1.1661409505190208</v>
      </c>
      <c r="Q16" s="37">
        <f t="shared" si="9"/>
        <v>1.304434512387719</v>
      </c>
      <c r="R16" s="38">
        <f t="shared" si="9"/>
        <v>1.1431552047414342</v>
      </c>
    </row>
    <row r="17" spans="1:30" s="6" customFormat="1" x14ac:dyDescent="0.25">
      <c r="A17" s="142"/>
      <c r="B17" s="138" t="s">
        <v>41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40"/>
      <c r="V17"/>
      <c r="W17"/>
      <c r="X17"/>
      <c r="Y17"/>
      <c r="Z17"/>
      <c r="AA17"/>
      <c r="AB17"/>
      <c r="AC17"/>
      <c r="AD17"/>
    </row>
    <row r="18" spans="1:30" ht="15.75" x14ac:dyDescent="0.25">
      <c r="A18" s="142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43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41" t="s">
        <v>18</v>
      </c>
      <c r="B21" s="108" t="s">
        <v>33</v>
      </c>
      <c r="C21" s="60">
        <f>1-2/$L$5</f>
        <v>0.17205741626794258</v>
      </c>
      <c r="D21" s="92"/>
    </row>
    <row r="22" spans="1:30" ht="15.75" customHeight="1" thickBot="1" x14ac:dyDescent="0.3">
      <c r="A22" s="142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2"/>
      <c r="B23" s="42" t="s">
        <v>35</v>
      </c>
      <c r="C23" s="43">
        <f t="shared" ref="C23:R23" si="11">C$8*(1-$C$21)</f>
        <v>2.415106909967891</v>
      </c>
      <c r="D23" s="93">
        <f t="shared" si="11"/>
        <v>2.5680636809325237</v>
      </c>
      <c r="E23" s="44">
        <f t="shared" si="11"/>
        <v>2.7371211646302758</v>
      </c>
      <c r="F23" s="44">
        <f t="shared" si="11"/>
        <v>3.7031639286174323</v>
      </c>
      <c r="G23" s="44">
        <f t="shared" si="11"/>
        <v>2.415106909967891</v>
      </c>
      <c r="H23" s="44">
        <f t="shared" si="11"/>
        <v>2.5761140372990829</v>
      </c>
      <c r="I23" s="44">
        <f t="shared" si="11"/>
        <v>3.4012755648714457</v>
      </c>
      <c r="J23" s="44">
        <f t="shared" si="11"/>
        <v>3.5421568012862394</v>
      </c>
      <c r="K23" s="44">
        <f t="shared" si="11"/>
        <v>3.4616532376206433</v>
      </c>
      <c r="L23" s="44">
        <f t="shared" si="11"/>
        <v>3.4616532376206433</v>
      </c>
      <c r="M23" s="44">
        <f t="shared" si="11"/>
        <v>3.3972503866881665</v>
      </c>
      <c r="N23" s="44">
        <f t="shared" si="11"/>
        <v>4.7658109690033053</v>
      </c>
      <c r="O23" s="44">
        <f t="shared" si="11"/>
        <v>4.8704656017685801</v>
      </c>
      <c r="P23" s="44">
        <f t="shared" si="11"/>
        <v>4.8752958155885153</v>
      </c>
      <c r="Q23" s="44">
        <f t="shared" si="11"/>
        <v>7.4868314209004607</v>
      </c>
      <c r="R23" s="45">
        <f t="shared" si="11"/>
        <v>9.6604276398715641</v>
      </c>
    </row>
    <row r="24" spans="1:30" x14ac:dyDescent="0.25">
      <c r="A24" s="142"/>
      <c r="B24" s="22" t="s">
        <v>17</v>
      </c>
      <c r="C24" s="50">
        <f t="shared" ref="C24:R24" si="12">C23-C$11</f>
        <v>2.1177469099678912</v>
      </c>
      <c r="D24" s="94">
        <f t="shared" ref="D24" si="13">D23-D$11</f>
        <v>2.2335336809325237</v>
      </c>
      <c r="E24" s="51">
        <f t="shared" si="12"/>
        <v>2.3158611646302756</v>
      </c>
      <c r="F24" s="51">
        <f t="shared" si="12"/>
        <v>3.1084439286174321</v>
      </c>
      <c r="G24" s="51">
        <f t="shared" ref="G24" si="14">G23-G$11</f>
        <v>2.192086909967891</v>
      </c>
      <c r="H24" s="51">
        <f t="shared" si="12"/>
        <v>2.353094037299083</v>
      </c>
      <c r="I24" s="51">
        <f t="shared" si="12"/>
        <v>3.1286955648714456</v>
      </c>
      <c r="J24" s="51">
        <f t="shared" si="12"/>
        <v>3.2447968012862396</v>
      </c>
      <c r="K24" s="51">
        <f t="shared" si="12"/>
        <v>3.1519032376206431</v>
      </c>
      <c r="L24" s="51">
        <f t="shared" si="12"/>
        <v>3.1940292376206432</v>
      </c>
      <c r="M24" s="51">
        <f t="shared" si="12"/>
        <v>3.0503303866881666</v>
      </c>
      <c r="N24" s="51">
        <f t="shared" si="12"/>
        <v>4.1958709690033054</v>
      </c>
      <c r="O24" s="51">
        <f t="shared" si="12"/>
        <v>4.5731056017685798</v>
      </c>
      <c r="P24" s="51">
        <f t="shared" si="12"/>
        <v>4.577935815588515</v>
      </c>
      <c r="Q24" s="51">
        <f t="shared" si="12"/>
        <v>6.8425514209004605</v>
      </c>
      <c r="R24" s="52">
        <f t="shared" si="12"/>
        <v>8.9541976398715644</v>
      </c>
    </row>
    <row r="25" spans="1:30" x14ac:dyDescent="0.25">
      <c r="A25" s="142"/>
      <c r="B25" s="46" t="s">
        <v>15</v>
      </c>
      <c r="C25" s="47">
        <f t="shared" ref="C25:R25" si="15">IF(C24&gt;0,C$13/C24,"N/A")</f>
        <v>250.26597725411662</v>
      </c>
      <c r="D25" s="95">
        <f t="shared" ref="D25" si="16">IF(D24&gt;0,D$13/D24,"N/A")</f>
        <v>246.24656645892586</v>
      </c>
      <c r="E25" s="48">
        <f t="shared" si="15"/>
        <v>237.49264783228352</v>
      </c>
      <c r="F25" s="48">
        <f t="shared" si="15"/>
        <v>273.44871566593173</v>
      </c>
      <c r="G25" s="48">
        <f t="shared" ref="G25" si="17">IF(G24&gt;0,G$13/G24,"N/A")</f>
        <v>296.52109003721984</v>
      </c>
      <c r="H25" s="48">
        <f t="shared" si="15"/>
        <v>318.72929347985661</v>
      </c>
      <c r="I25" s="48">
        <f t="shared" si="15"/>
        <v>271.67871797552971</v>
      </c>
      <c r="J25" s="48">
        <f t="shared" si="15"/>
        <v>277.3671373329878</v>
      </c>
      <c r="K25" s="48">
        <f t="shared" si="15"/>
        <v>301.40519184121609</v>
      </c>
      <c r="L25" s="48">
        <f t="shared" si="15"/>
        <v>297.42996363667982</v>
      </c>
      <c r="M25" s="48">
        <f t="shared" si="15"/>
        <v>360.61667444302725</v>
      </c>
      <c r="N25" s="48">
        <f t="shared" si="15"/>
        <v>285.99544858860378</v>
      </c>
      <c r="O25" s="48">
        <f t="shared" si="15"/>
        <v>328.00467135941437</v>
      </c>
      <c r="P25" s="48">
        <f t="shared" si="15"/>
        <v>382.26835641535297</v>
      </c>
      <c r="Q25" s="48">
        <f t="shared" si="15"/>
        <v>343.4391435951747</v>
      </c>
      <c r="R25" s="49">
        <f t="shared" si="15"/>
        <v>390.87812674751308</v>
      </c>
    </row>
    <row r="26" spans="1:30" ht="15.75" thickBot="1" x14ac:dyDescent="0.3">
      <c r="A26" s="142"/>
      <c r="B26" s="53" t="s">
        <v>16</v>
      </c>
      <c r="C26" s="54">
        <f>IFERROR(C24*365/C$13,"N/A")</f>
        <v>1.4584483436571325</v>
      </c>
      <c r="D26" s="96">
        <f t="shared" ref="D26:R26" si="18">IFERROR(D24*365/D$13,"N/A")</f>
        <v>1.482254170073402</v>
      </c>
      <c r="E26" s="55">
        <f t="shared" si="18"/>
        <v>1.5368896819819102</v>
      </c>
      <c r="F26" s="55">
        <f t="shared" si="18"/>
        <v>1.3348023928768975</v>
      </c>
      <c r="G26" s="55">
        <f t="shared" si="18"/>
        <v>1.2309411109819697</v>
      </c>
      <c r="H26" s="55">
        <f t="shared" si="18"/>
        <v>1.1451724314855538</v>
      </c>
      <c r="I26" s="55">
        <f t="shared" si="18"/>
        <v>1.3434986837389149</v>
      </c>
      <c r="J26" s="55">
        <f t="shared" si="18"/>
        <v>1.3159453694105305</v>
      </c>
      <c r="K26" s="55">
        <f t="shared" si="18"/>
        <v>1.2109944018226682</v>
      </c>
      <c r="L26" s="55">
        <f t="shared" si="18"/>
        <v>1.227179654454247</v>
      </c>
      <c r="M26" s="55">
        <f t="shared" si="18"/>
        <v>1.0121550828556189</v>
      </c>
      <c r="N26" s="55">
        <f t="shared" si="18"/>
        <v>1.2762440864051721</v>
      </c>
      <c r="O26" s="55">
        <f t="shared" si="18"/>
        <v>1.1127890297636878</v>
      </c>
      <c r="P26" s="55">
        <f t="shared" si="18"/>
        <v>0.95482661296560456</v>
      </c>
      <c r="Q26" s="55">
        <f t="shared" si="18"/>
        <v>1.0627792632462416</v>
      </c>
      <c r="R26" s="56">
        <f t="shared" si="18"/>
        <v>0.93379489672946314</v>
      </c>
    </row>
    <row r="27" spans="1:30" ht="108.75" customHeight="1" thickBot="1" x14ac:dyDescent="0.3">
      <c r="A27" s="143"/>
      <c r="B27" s="158" t="s">
        <v>38</v>
      </c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60"/>
    </row>
    <row r="28" spans="1:30" ht="15.75" thickBot="1" x14ac:dyDescent="0.3"/>
    <row r="29" spans="1:30" ht="15.75" thickBot="1" x14ac:dyDescent="0.3">
      <c r="A29" s="14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2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2"/>
      <c r="B31" s="42" t="s">
        <v>35</v>
      </c>
      <c r="C31" s="43">
        <f t="shared" ref="C31:R31" si="20">C$8*(1-$C$29)</f>
        <v>0.17232088179563543</v>
      </c>
      <c r="D31" s="93">
        <f t="shared" si="20"/>
        <v>0.18323453764269232</v>
      </c>
      <c r="E31" s="44">
        <f t="shared" si="20"/>
        <v>0.19529699936838679</v>
      </c>
      <c r="F31" s="44">
        <f t="shared" si="20"/>
        <v>0.264225352086641</v>
      </c>
      <c r="G31" s="44">
        <f t="shared" si="20"/>
        <v>0.17232088179563543</v>
      </c>
      <c r="H31" s="44">
        <f t="shared" si="20"/>
        <v>0.18380894058201108</v>
      </c>
      <c r="I31" s="44">
        <f t="shared" si="20"/>
        <v>0.24268524186218654</v>
      </c>
      <c r="J31" s="44">
        <f t="shared" si="20"/>
        <v>0.25273729330026529</v>
      </c>
      <c r="K31" s="44">
        <f t="shared" si="20"/>
        <v>0.24699326390707743</v>
      </c>
      <c r="L31" s="44">
        <f t="shared" si="20"/>
        <v>0.24699326390707743</v>
      </c>
      <c r="M31" s="44">
        <f t="shared" si="20"/>
        <v>0.24239804039252716</v>
      </c>
      <c r="N31" s="44">
        <f t="shared" si="20"/>
        <v>0.34004654007672058</v>
      </c>
      <c r="O31" s="44">
        <f t="shared" si="20"/>
        <v>0.34751377828786478</v>
      </c>
      <c r="P31" s="44">
        <f t="shared" si="20"/>
        <v>0.34785842005145606</v>
      </c>
      <c r="Q31" s="44">
        <f t="shared" si="20"/>
        <v>0.53419473356646974</v>
      </c>
      <c r="R31" s="45">
        <f t="shared" si="20"/>
        <v>0.68928352718254171</v>
      </c>
    </row>
    <row r="32" spans="1:30" x14ac:dyDescent="0.25">
      <c r="A32" s="142"/>
      <c r="B32" s="22" t="s">
        <v>17</v>
      </c>
      <c r="C32" s="50">
        <f t="shared" ref="C32:R32" si="21">C31-C$11</f>
        <v>-0.12503911820436453</v>
      </c>
      <c r="D32" s="94">
        <f t="shared" ref="D32" si="22">D31-D$11</f>
        <v>-0.15129546235730773</v>
      </c>
      <c r="E32" s="51">
        <f t="shared" si="21"/>
        <v>-0.22596300063161318</v>
      </c>
      <c r="F32" s="51">
        <f t="shared" si="21"/>
        <v>-0.33049464791335892</v>
      </c>
      <c r="G32" s="51">
        <f t="shared" ref="G32" si="23">G31-G$11</f>
        <v>-5.0699118204364568E-2</v>
      </c>
      <c r="H32" s="51">
        <f t="shared" si="21"/>
        <v>-3.9211059417988914E-2</v>
      </c>
      <c r="I32" s="51">
        <f t="shared" si="21"/>
        <v>-2.9894758137813449E-2</v>
      </c>
      <c r="J32" s="51">
        <f t="shared" si="21"/>
        <v>-4.4622706699734671E-2</v>
      </c>
      <c r="K32" s="51">
        <f t="shared" si="21"/>
        <v>-6.2756736092922538E-2</v>
      </c>
      <c r="L32" s="51">
        <f t="shared" si="21"/>
        <v>-2.0630736092922541E-2</v>
      </c>
      <c r="M32" s="51">
        <f t="shared" si="21"/>
        <v>-0.10452195960747279</v>
      </c>
      <c r="N32" s="51">
        <f t="shared" si="21"/>
        <v>-0.22989345992327931</v>
      </c>
      <c r="O32" s="51">
        <f t="shared" si="21"/>
        <v>5.0153778287864825E-2</v>
      </c>
      <c r="P32" s="51">
        <f t="shared" si="21"/>
        <v>5.0498420051456105E-2</v>
      </c>
      <c r="Q32" s="51">
        <f t="shared" si="21"/>
        <v>-0.11008526643353023</v>
      </c>
      <c r="R32" s="52">
        <f t="shared" si="21"/>
        <v>-1.6946472817458202E-2</v>
      </c>
    </row>
    <row r="33" spans="1:18" x14ac:dyDescent="0.25">
      <c r="A33" s="14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29908.01593033598</v>
      </c>
      <c r="P33" s="48">
        <f t="shared" si="24"/>
        <v>34654.549552576333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42"/>
      <c r="B34" s="53" t="s">
        <v>16</v>
      </c>
      <c r="C34" s="54">
        <f>IFERROR(C32*365/C$13,"N/A")</f>
        <v>-8.6111845555835953E-2</v>
      </c>
      <c r="D34" s="96">
        <f t="shared" ref="D34:R34" si="27">IFERROR(D32*365/D$13,"N/A")</f>
        <v>-0.10040517047348603</v>
      </c>
      <c r="E34" s="55">
        <f t="shared" si="27"/>
        <v>-0.14995726405552509</v>
      </c>
      <c r="F34" s="55">
        <f t="shared" si="27"/>
        <v>-0.14191828998632472</v>
      </c>
      <c r="G34" s="55">
        <f t="shared" si="27"/>
        <v>-2.8469504837835488E-2</v>
      </c>
      <c r="H34" s="55">
        <f t="shared" si="27"/>
        <v>-1.908271558342127E-2</v>
      </c>
      <c r="I34" s="55">
        <f t="shared" si="27"/>
        <v>-1.2837160847414011E-2</v>
      </c>
      <c r="J34" s="55">
        <f t="shared" si="27"/>
        <v>-1.8096986606003503E-2</v>
      </c>
      <c r="K34" s="55">
        <f t="shared" si="27"/>
        <v>-2.411179860412287E-2</v>
      </c>
      <c r="L34" s="55">
        <f t="shared" si="27"/>
        <v>-7.926545972543924E-3</v>
      </c>
      <c r="M34" s="55">
        <f t="shared" si="27"/>
        <v>-3.4682286597025061E-2</v>
      </c>
      <c r="N34" s="55">
        <f t="shared" si="27"/>
        <v>-6.9925927393330797E-2</v>
      </c>
      <c r="O34" s="55">
        <f t="shared" si="27"/>
        <v>1.2204086050047108E-2</v>
      </c>
      <c r="P34" s="55">
        <f t="shared" si="27"/>
        <v>1.0532527610732274E-2</v>
      </c>
      <c r="Q34" s="55">
        <f t="shared" si="27"/>
        <v>-1.7098349892867459E-2</v>
      </c>
      <c r="R34" s="56">
        <f t="shared" si="27"/>
        <v>-1.7672750223920695E-3</v>
      </c>
    </row>
    <row r="35" spans="1:18" ht="80.25" customHeight="1" thickBot="1" x14ac:dyDescent="0.3">
      <c r="A35" s="143"/>
      <c r="B35" s="158" t="s">
        <v>47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</row>
    <row r="36" spans="1:18" ht="15.75" thickBot="1" x14ac:dyDescent="0.3"/>
    <row r="37" spans="1:18" ht="15.75" thickBot="1" x14ac:dyDescent="0.3">
      <c r="A37" s="14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2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2"/>
      <c r="B39" s="42" t="s">
        <v>35</v>
      </c>
      <c r="C39" s="43">
        <f t="shared" ref="C39:R39" si="29">C$8*(1-$C$37)</f>
        <v>1.00693527314317</v>
      </c>
      <c r="D39" s="93">
        <f t="shared" si="29"/>
        <v>1.0707078404422372</v>
      </c>
      <c r="E39" s="44">
        <f t="shared" si="29"/>
        <v>1.1411933095622591</v>
      </c>
      <c r="F39" s="44">
        <f t="shared" si="29"/>
        <v>1.5439674188195271</v>
      </c>
      <c r="G39" s="44">
        <f t="shared" si="29"/>
        <v>1.00693527314317</v>
      </c>
      <c r="H39" s="44">
        <f t="shared" si="29"/>
        <v>1.0740642913527145</v>
      </c>
      <c r="I39" s="44">
        <f t="shared" si="29"/>
        <v>1.4181005096766308</v>
      </c>
      <c r="J39" s="44">
        <f t="shared" si="29"/>
        <v>1.4768384006099824</v>
      </c>
      <c r="K39" s="44">
        <f t="shared" si="29"/>
        <v>1.4432738915052101</v>
      </c>
      <c r="L39" s="44">
        <f t="shared" si="29"/>
        <v>1.4432738915052101</v>
      </c>
      <c r="M39" s="44">
        <f t="shared" si="29"/>
        <v>1.4164222842213925</v>
      </c>
      <c r="N39" s="44">
        <f t="shared" si="29"/>
        <v>1.9870189390025221</v>
      </c>
      <c r="O39" s="44">
        <f t="shared" si="29"/>
        <v>2.0306528008387259</v>
      </c>
      <c r="P39" s="44">
        <f t="shared" si="29"/>
        <v>2.0326666713850123</v>
      </c>
      <c r="Q39" s="44">
        <f t="shared" si="29"/>
        <v>3.1214993467438266</v>
      </c>
      <c r="R39" s="45">
        <f t="shared" si="29"/>
        <v>4.02774109257268</v>
      </c>
    </row>
    <row r="40" spans="1:18" x14ac:dyDescent="0.25">
      <c r="A40" s="142"/>
      <c r="B40" s="22" t="s">
        <v>17</v>
      </c>
      <c r="C40" s="50">
        <f>C39-C$11</f>
        <v>0.70957527314317004</v>
      </c>
      <c r="D40" s="94">
        <f>D39-D$11</f>
        <v>0.73617784044223722</v>
      </c>
      <c r="E40" s="51">
        <f>E39-E$11</f>
        <v>0.71993330956225909</v>
      </c>
      <c r="F40" s="51">
        <f t="shared" ref="F40:G40" si="30">F39-F$11</f>
        <v>0.94924741881952723</v>
      </c>
      <c r="G40" s="51">
        <f t="shared" si="30"/>
        <v>0.78391527314317</v>
      </c>
      <c r="H40" s="51">
        <f t="shared" ref="H40" si="31">H39-H$11</f>
        <v>0.85104429135271453</v>
      </c>
      <c r="I40" s="51">
        <f t="shared" ref="I40" si="32">I39-I$11</f>
        <v>1.1455205096766308</v>
      </c>
      <c r="J40" s="51">
        <f t="shared" ref="J40" si="33">J39-J$11</f>
        <v>1.1794784006099825</v>
      </c>
      <c r="K40" s="51">
        <f t="shared" ref="K40" si="34">K39-K$11</f>
        <v>1.1335238915052102</v>
      </c>
      <c r="L40" s="51">
        <f t="shared" ref="L40" si="35">L39-L$11</f>
        <v>1.17564989150521</v>
      </c>
      <c r="M40" s="51">
        <f t="shared" ref="M40" si="36">M39-M$11</f>
        <v>1.0695022842213926</v>
      </c>
      <c r="N40" s="51">
        <f t="shared" ref="N40" si="37">N39-N$11</f>
        <v>1.4170789390025222</v>
      </c>
      <c r="O40" s="51">
        <f t="shared" ref="O40" si="38">O39-O$11</f>
        <v>1.7332928008387261</v>
      </c>
      <c r="P40" s="51">
        <f t="shared" ref="P40" si="39">P39-P$11</f>
        <v>1.7353066713850125</v>
      </c>
      <c r="Q40" s="51">
        <f t="shared" ref="Q40" si="40">Q39-Q$11</f>
        <v>2.4772193467438264</v>
      </c>
      <c r="R40" s="52">
        <f>R39-R$11</f>
        <v>3.3215110925726803</v>
      </c>
    </row>
    <row r="41" spans="1:18" x14ac:dyDescent="0.25">
      <c r="A41" s="142"/>
      <c r="B41" s="46" t="s">
        <v>15</v>
      </c>
      <c r="C41" s="47">
        <f>IF(C40&gt;0,C$13/C40,"N/A")</f>
        <v>746.92568929619767</v>
      </c>
      <c r="D41" s="95">
        <f>IF(D40&gt;0,D$13/D40,"N/A")</f>
        <v>747.1020856449627</v>
      </c>
      <c r="E41" s="48">
        <f>IF(E40&gt;0,E$13/E40,"N/A")</f>
        <v>763.95965111604073</v>
      </c>
      <c r="F41" s="48">
        <f t="shared" ref="F41:G41" si="41">IF(F40&gt;0,F$13/F40,"N/A")</f>
        <v>895.44620627681013</v>
      </c>
      <c r="G41" s="48">
        <f t="shared" si="41"/>
        <v>829.17124116458888</v>
      </c>
      <c r="H41" s="48">
        <f t="shared" ref="H41" si="42">IF(H40&gt;0,H$13/H40,"N/A")</f>
        <v>881.27023190284604</v>
      </c>
      <c r="I41" s="48">
        <f t="shared" ref="I41" si="43">IF(I40&gt;0,I$13/I40,"N/A")</f>
        <v>742.02076071073282</v>
      </c>
      <c r="J41" s="48">
        <f t="shared" ref="J41" si="44">IF(J40&gt;0,J$13/J40,"N/A")</f>
        <v>763.04915760606832</v>
      </c>
      <c r="K41" s="48">
        <f t="shared" ref="K41" si="45">IF(K40&gt;0,K$13/K40,"N/A")</f>
        <v>838.09437729494334</v>
      </c>
      <c r="L41" s="48">
        <f t="shared" ref="L41" si="46">IF(L40&gt;0,L$13/L40,"N/A")</f>
        <v>808.0636989501138</v>
      </c>
      <c r="M41" s="48">
        <f t="shared" ref="M41" si="47">IF(M40&gt;0,M$13/M40,"N/A")</f>
        <v>1028.515802377</v>
      </c>
      <c r="N41" s="48">
        <f t="shared" ref="N41" si="48">IF(N40&gt;0,N$13/N40,"N/A")</f>
        <v>846.81238777331384</v>
      </c>
      <c r="O41" s="48">
        <f t="shared" ref="O41" si="49">IF(O40&gt;0,O$13/O40,"N/A")</f>
        <v>865.40485212548185</v>
      </c>
      <c r="P41" s="48">
        <f t="shared" ref="P41" si="50">IF(P40&gt;0,P$13/P40,"N/A")</f>
        <v>1008.4672806583866</v>
      </c>
      <c r="Q41" s="48">
        <f t="shared" ref="Q41" si="51">IF(Q40&gt;0,Q$13/Q40,"N/A")</f>
        <v>948.64429469637014</v>
      </c>
      <c r="R41" s="49">
        <f>IF(R40&gt;0,R$13/R40,"N/A")</f>
        <v>1053.7372606782628</v>
      </c>
    </row>
    <row r="42" spans="1:18" ht="15.75" thickBot="1" x14ac:dyDescent="0.3">
      <c r="A42" s="142"/>
      <c r="B42" s="53" t="s">
        <v>16</v>
      </c>
      <c r="C42" s="12">
        <f>IFERROR(C40*365/C$13,"N/A")</f>
        <v>0.48866976357973035</v>
      </c>
      <c r="D42" s="97">
        <f t="shared" ref="D42:R42" si="52">IFERROR(D40*365/D$13,"N/A")</f>
        <v>0.48855438502075749</v>
      </c>
      <c r="E42" s="13">
        <f t="shared" si="52"/>
        <v>0.47777392361859006</v>
      </c>
      <c r="F42" s="13">
        <f t="shared" si="52"/>
        <v>0.40761800925779701</v>
      </c>
      <c r="G42" s="13">
        <f t="shared" si="52"/>
        <v>0.44019857645731858</v>
      </c>
      <c r="H42" s="13">
        <f t="shared" si="52"/>
        <v>0.41417488845832107</v>
      </c>
      <c r="I42" s="13">
        <f t="shared" si="52"/>
        <v>0.49189998356702375</v>
      </c>
      <c r="J42" s="13">
        <f t="shared" si="52"/>
        <v>0.47834401802515958</v>
      </c>
      <c r="K42" s="13">
        <f t="shared" si="52"/>
        <v>0.43551181094673863</v>
      </c>
      <c r="L42" s="13">
        <f t="shared" si="52"/>
        <v>0.45169706357831751</v>
      </c>
      <c r="M42" s="13">
        <f t="shared" si="52"/>
        <v>0.35488030340073479</v>
      </c>
      <c r="N42" s="13">
        <f t="shared" si="52"/>
        <v>0.43102817727993387</v>
      </c>
      <c r="O42" s="13">
        <f t="shared" si="52"/>
        <v>0.42176791487075671</v>
      </c>
      <c r="P42" s="13">
        <f t="shared" si="52"/>
        <v>0.36193539146030257</v>
      </c>
      <c r="Q42" s="13">
        <f t="shared" si="52"/>
        <v>0.38475960066446663</v>
      </c>
      <c r="R42" s="14">
        <f t="shared" si="52"/>
        <v>0.34638615679686524</v>
      </c>
    </row>
    <row r="43" spans="1:18" ht="74.25" customHeight="1" thickBot="1" x14ac:dyDescent="0.3">
      <c r="A43" s="143"/>
      <c r="B43" s="158" t="s">
        <v>37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60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7" t="s">
        <v>75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20" x14ac:dyDescent="0.25">
      <c r="A2" s="155" t="s">
        <v>44</v>
      </c>
      <c r="B2" s="155"/>
      <c r="C2" s="129">
        <f>'Card Data'!$B$2</f>
        <v>44438</v>
      </c>
      <c r="D2" s="130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3997.01</v>
      </c>
      <c r="I4" s="1"/>
      <c r="J4" s="150" t="s">
        <v>113</v>
      </c>
      <c r="K4" s="151"/>
      <c r="L4" s="57">
        <f>'Card Data'!$C$7</f>
        <v>6489</v>
      </c>
      <c r="N4" s="135" t="s">
        <v>48</v>
      </c>
      <c r="O4" s="136"/>
      <c r="P4" s="152">
        <f>$L$4*$L$5*$H$4/$D$5/10000</f>
        <v>9.72332686437219</v>
      </c>
    </row>
    <row r="5" spans="1:20" ht="15.75" thickBot="1" x14ac:dyDescent="0.3">
      <c r="A5" s="142"/>
      <c r="B5" s="150" t="s">
        <v>46</v>
      </c>
      <c r="C5" s="151"/>
      <c r="D5" s="58">
        <f>'Card Data'!$C$4</f>
        <v>644.35900000000004</v>
      </c>
      <c r="E5" s="1"/>
      <c r="F5" s="150" t="s">
        <v>112</v>
      </c>
      <c r="G5" s="151"/>
      <c r="H5" s="57">
        <f>'Card Data'!$C$6</f>
        <v>15675</v>
      </c>
      <c r="I5" s="1"/>
      <c r="J5" s="150" t="s">
        <v>39</v>
      </c>
      <c r="K5" s="151"/>
      <c r="L5" s="59">
        <f>$H$5/$L$4</f>
        <v>2.4156264447526583</v>
      </c>
      <c r="N5" s="156"/>
      <c r="O5" s="157"/>
      <c r="P5" s="153"/>
    </row>
    <row r="6" spans="1:20" ht="15.75" thickBot="1" x14ac:dyDescent="0.3">
      <c r="A6" s="142"/>
    </row>
    <row r="7" spans="1:20" ht="15.75" thickBot="1" x14ac:dyDescent="0.3">
      <c r="A7" s="14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42"/>
      <c r="B8" s="26" t="s">
        <v>51</v>
      </c>
      <c r="C8" s="61">
        <f t="shared" ref="C8:R8" si="0">$P$4*C9/100</f>
        <v>2.9558913667691455</v>
      </c>
      <c r="D8" s="83">
        <f t="shared" si="0"/>
        <v>2.9558913667691455</v>
      </c>
      <c r="E8" s="27">
        <f t="shared" si="0"/>
        <v>2.9656146936335182</v>
      </c>
      <c r="F8" s="27">
        <f t="shared" si="0"/>
        <v>3.0434013085484959</v>
      </c>
      <c r="G8" s="27">
        <f t="shared" si="0"/>
        <v>2.9947846742266346</v>
      </c>
      <c r="H8" s="27">
        <f t="shared" si="0"/>
        <v>2.5280649847367691</v>
      </c>
      <c r="I8" s="27">
        <f t="shared" si="0"/>
        <v>3.5976309398177104</v>
      </c>
      <c r="J8" s="27">
        <f t="shared" si="0"/>
        <v>5.2019798724391215</v>
      </c>
      <c r="K8" s="27">
        <f t="shared" si="0"/>
        <v>5.3186597948115875</v>
      </c>
      <c r="L8" s="27">
        <f t="shared" si="0"/>
        <v>4.5699636262549292</v>
      </c>
      <c r="M8" s="27">
        <f t="shared" si="0"/>
        <v>6.1645892320119682</v>
      </c>
      <c r="N8" s="27">
        <f t="shared" si="0"/>
        <v>6.2618225006556907</v>
      </c>
      <c r="O8" s="27">
        <f t="shared" si="0"/>
        <v>6.2229291931982011</v>
      </c>
      <c r="P8" s="27">
        <f t="shared" si="0"/>
        <v>3.7532041696476655</v>
      </c>
      <c r="Q8" s="27">
        <f t="shared" si="0"/>
        <v>4.5699636262549292</v>
      </c>
      <c r="R8" s="28">
        <f t="shared" si="0"/>
        <v>8.7996108122568319</v>
      </c>
    </row>
    <row r="9" spans="1:20" x14ac:dyDescent="0.25">
      <c r="A9" s="14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2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2"/>
      <c r="B12" s="29" t="s">
        <v>52</v>
      </c>
      <c r="C12" s="33">
        <f t="shared" ref="C12:R12" si="2">C8-C11</f>
        <v>2.6585313667691457</v>
      </c>
      <c r="D12" s="87">
        <f t="shared" si="2"/>
        <v>2.6337513667691455</v>
      </c>
      <c r="E12" s="34">
        <f t="shared" si="2"/>
        <v>2.6434746936335181</v>
      </c>
      <c r="F12" s="34">
        <f t="shared" si="2"/>
        <v>2.7212613085484958</v>
      </c>
      <c r="G12" s="34">
        <f t="shared" si="2"/>
        <v>2.6726446742266345</v>
      </c>
      <c r="H12" s="34">
        <f>H8-H11</f>
        <v>2.3546049847367692</v>
      </c>
      <c r="I12" s="34">
        <f t="shared" si="2"/>
        <v>3.3498309398177106</v>
      </c>
      <c r="J12" s="34">
        <f t="shared" si="2"/>
        <v>4.8054998724391211</v>
      </c>
      <c r="K12" s="34">
        <f t="shared" si="2"/>
        <v>4.9717397948115876</v>
      </c>
      <c r="L12" s="34">
        <f t="shared" si="2"/>
        <v>4.1487036262549291</v>
      </c>
      <c r="M12" s="34">
        <f t="shared" si="2"/>
        <v>5.7309392320119681</v>
      </c>
      <c r="N12" s="34">
        <f t="shared" si="2"/>
        <v>5.7910025006556909</v>
      </c>
      <c r="O12" s="34">
        <f t="shared" si="2"/>
        <v>5.6777691931982011</v>
      </c>
      <c r="P12" s="34">
        <f t="shared" si="2"/>
        <v>3.2204341696476657</v>
      </c>
      <c r="Q12" s="34">
        <f t="shared" si="2"/>
        <v>4.0248036262549292</v>
      </c>
      <c r="R12" s="35">
        <f t="shared" si="2"/>
        <v>8.2544508122568327</v>
      </c>
    </row>
    <row r="13" spans="1:20" ht="17.25" x14ac:dyDescent="0.25">
      <c r="A13" s="142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2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2"/>
      <c r="B15" s="15" t="s">
        <v>54</v>
      </c>
      <c r="C15" s="39">
        <f t="shared" ref="C15:R15" si="4">C13/C12</f>
        <v>188.07376367638608</v>
      </c>
      <c r="D15" s="90">
        <f t="shared" si="4"/>
        <v>189.84328069409074</v>
      </c>
      <c r="E15" s="40">
        <f t="shared" si="4"/>
        <v>189.14499208340757</v>
      </c>
      <c r="F15" s="40">
        <f t="shared" si="4"/>
        <v>183.73832694027351</v>
      </c>
      <c r="G15" s="40">
        <f t="shared" si="4"/>
        <v>187.0806115087789</v>
      </c>
      <c r="H15" s="40">
        <f t="shared" si="4"/>
        <v>212.34984349440552</v>
      </c>
      <c r="I15" s="40">
        <f t="shared" si="4"/>
        <v>194.03964309774133</v>
      </c>
      <c r="J15" s="40">
        <f t="shared" si="4"/>
        <v>187.28540711482492</v>
      </c>
      <c r="K15" s="40">
        <f t="shared" si="4"/>
        <v>191.07999195601545</v>
      </c>
      <c r="L15" s="40">
        <f t="shared" si="4"/>
        <v>192.83132083411004</v>
      </c>
      <c r="M15" s="40">
        <f t="shared" si="4"/>
        <v>226.83890848788627</v>
      </c>
      <c r="N15" s="40">
        <f t="shared" si="4"/>
        <v>293.55884405291073</v>
      </c>
      <c r="O15" s="40">
        <f t="shared" si="4"/>
        <v>281.80081746132839</v>
      </c>
      <c r="P15" s="40">
        <f t="shared" si="4"/>
        <v>217.36199627908684</v>
      </c>
      <c r="Q15" s="40">
        <f t="shared" si="4"/>
        <v>211.19042788950256</v>
      </c>
      <c r="R15" s="41">
        <f t="shared" si="4"/>
        <v>254.40820325463218</v>
      </c>
    </row>
    <row r="16" spans="1:20" ht="18" thickBot="1" x14ac:dyDescent="0.3">
      <c r="A16" s="143"/>
      <c r="B16" s="8" t="s">
        <v>40</v>
      </c>
      <c r="C16" s="36">
        <f>IFERROR(C12*365/C13,"N/A")</f>
        <v>1.9407278977414764</v>
      </c>
      <c r="D16" s="91">
        <f t="shared" ref="D16:R16" si="5">IFERROR(D12*365/D13,"N/A")</f>
        <v>1.9226384977414761</v>
      </c>
      <c r="E16" s="37">
        <f t="shared" si="5"/>
        <v>1.9297365263524682</v>
      </c>
      <c r="F16" s="37">
        <f t="shared" si="5"/>
        <v>1.9865207552404021</v>
      </c>
      <c r="G16" s="37">
        <f t="shared" si="5"/>
        <v>1.9510306121854433</v>
      </c>
      <c r="H16" s="37">
        <f t="shared" si="5"/>
        <v>1.7188616388578415</v>
      </c>
      <c r="I16" s="37">
        <f t="shared" si="5"/>
        <v>1.8810589123591759</v>
      </c>
      <c r="J16" s="37">
        <f t="shared" si="5"/>
        <v>1.9488971704891993</v>
      </c>
      <c r="K16" s="37">
        <f t="shared" si="5"/>
        <v>1.9101947632697152</v>
      </c>
      <c r="L16" s="37">
        <f t="shared" si="5"/>
        <v>1.8928460294788112</v>
      </c>
      <c r="M16" s="37">
        <f t="shared" si="5"/>
        <v>1.6090713997572064</v>
      </c>
      <c r="N16" s="37">
        <f t="shared" si="5"/>
        <v>1.2433623016113688</v>
      </c>
      <c r="O16" s="37">
        <f t="shared" si="5"/>
        <v>1.2952410971983397</v>
      </c>
      <c r="P16" s="37">
        <f t="shared" si="5"/>
        <v>1.6792263884591401</v>
      </c>
      <c r="Q16" s="37">
        <f t="shared" si="5"/>
        <v>1.7282980277447637</v>
      </c>
      <c r="R16" s="38">
        <f t="shared" si="5"/>
        <v>1.4347021649874971</v>
      </c>
    </row>
    <row r="17" spans="1:18" ht="15.75" thickBot="1" x14ac:dyDescent="0.3"/>
    <row r="18" spans="1:18" ht="15.75" thickBot="1" x14ac:dyDescent="0.3">
      <c r="A18" s="141" t="s">
        <v>18</v>
      </c>
      <c r="B18" s="108" t="s">
        <v>33</v>
      </c>
      <c r="C18" s="60">
        <f>1-2/$L$5</f>
        <v>0.17205741626794258</v>
      </c>
      <c r="D18" s="92"/>
    </row>
    <row r="19" spans="1:18" ht="15.75" customHeight="1" thickBot="1" x14ac:dyDescent="0.3">
      <c r="A19" s="14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2"/>
      <c r="B20" s="42" t="s">
        <v>35</v>
      </c>
      <c r="C20" s="43">
        <f t="shared" ref="C20:R20" si="7">C$8*(1-$C$18)</f>
        <v>2.447308335434129</v>
      </c>
      <c r="D20" s="93">
        <f t="shared" si="7"/>
        <v>2.447308335434129</v>
      </c>
      <c r="E20" s="44">
        <f t="shared" si="7"/>
        <v>2.4553586918006891</v>
      </c>
      <c r="F20" s="44">
        <f t="shared" si="7"/>
        <v>2.5197615427331663</v>
      </c>
      <c r="G20" s="44">
        <f t="shared" si="7"/>
        <v>2.4795097609003678</v>
      </c>
      <c r="H20" s="44">
        <f t="shared" si="7"/>
        <v>2.0930926553055049</v>
      </c>
      <c r="I20" s="44">
        <f t="shared" si="7"/>
        <v>2.9786318556270652</v>
      </c>
      <c r="J20" s="44">
        <f t="shared" si="7"/>
        <v>4.306940656109405</v>
      </c>
      <c r="K20" s="44">
        <f t="shared" si="7"/>
        <v>4.4035449325081197</v>
      </c>
      <c r="L20" s="44">
        <f t="shared" si="7"/>
        <v>3.7836674922830285</v>
      </c>
      <c r="M20" s="44">
        <f t="shared" si="7"/>
        <v>5.1039259363988085</v>
      </c>
      <c r="N20" s="44">
        <f t="shared" si="7"/>
        <v>5.1844295000644056</v>
      </c>
      <c r="O20" s="44">
        <f t="shared" si="7"/>
        <v>5.1522280745981659</v>
      </c>
      <c r="P20" s="44">
        <f t="shared" si="7"/>
        <v>3.1074375574920192</v>
      </c>
      <c r="Q20" s="44">
        <f t="shared" si="7"/>
        <v>3.7836674922830285</v>
      </c>
      <c r="R20" s="45">
        <f t="shared" si="7"/>
        <v>7.2855725117364702</v>
      </c>
    </row>
    <row r="21" spans="1:18" x14ac:dyDescent="0.25">
      <c r="A21" s="142"/>
      <c r="B21" s="22" t="s">
        <v>17</v>
      </c>
      <c r="C21" s="50">
        <f t="shared" ref="C21:R21" si="8">C20-C$11</f>
        <v>2.1499483354341291</v>
      </c>
      <c r="D21" s="94">
        <f t="shared" si="8"/>
        <v>2.1251683354341289</v>
      </c>
      <c r="E21" s="51">
        <f t="shared" si="8"/>
        <v>2.133218691800689</v>
      </c>
      <c r="F21" s="51">
        <f t="shared" si="8"/>
        <v>2.1976215427331662</v>
      </c>
      <c r="G21" s="51">
        <f t="shared" si="8"/>
        <v>2.1573697609003677</v>
      </c>
      <c r="H21" s="51">
        <f t="shared" si="8"/>
        <v>1.919632655305505</v>
      </c>
      <c r="I21" s="51">
        <f t="shared" si="8"/>
        <v>2.7308318556270654</v>
      </c>
      <c r="J21" s="51">
        <f t="shared" si="8"/>
        <v>3.9104606561094051</v>
      </c>
      <c r="K21" s="51">
        <f t="shared" si="8"/>
        <v>4.0566249325081198</v>
      </c>
      <c r="L21" s="51">
        <f t="shared" si="8"/>
        <v>3.3624074922830287</v>
      </c>
      <c r="M21" s="51">
        <f t="shared" si="8"/>
        <v>4.6702759363988084</v>
      </c>
      <c r="N21" s="51">
        <f t="shared" si="8"/>
        <v>4.7136095000644058</v>
      </c>
      <c r="O21" s="51">
        <f t="shared" si="8"/>
        <v>4.6070680745981658</v>
      </c>
      <c r="P21" s="51">
        <f t="shared" si="8"/>
        <v>2.5746675574920195</v>
      </c>
      <c r="Q21" s="51">
        <f t="shared" si="8"/>
        <v>3.2385074922830284</v>
      </c>
      <c r="R21" s="52">
        <f t="shared" si="8"/>
        <v>6.7404125117364702</v>
      </c>
    </row>
    <row r="22" spans="1:18" x14ac:dyDescent="0.25">
      <c r="A22" s="142"/>
      <c r="B22" s="46" t="s">
        <v>15</v>
      </c>
      <c r="C22" s="47">
        <f t="shared" ref="C22:R22" si="9">IF(C21&gt;0,C$13/C21,"N/A")</f>
        <v>232.56372804839393</v>
      </c>
      <c r="D22" s="95">
        <f t="shared" si="9"/>
        <v>235.2754799058589</v>
      </c>
      <c r="E22" s="48">
        <f t="shared" si="9"/>
        <v>234.38759557180742</v>
      </c>
      <c r="F22" s="48">
        <f t="shared" si="9"/>
        <v>227.51870159506791</v>
      </c>
      <c r="G22" s="48">
        <f t="shared" si="9"/>
        <v>231.76370090184608</v>
      </c>
      <c r="H22" s="48">
        <f t="shared" si="9"/>
        <v>260.46650051409244</v>
      </c>
      <c r="I22" s="48">
        <f t="shared" si="9"/>
        <v>238.02271042819083</v>
      </c>
      <c r="J22" s="48">
        <f t="shared" si="9"/>
        <v>230.15191281720448</v>
      </c>
      <c r="K22" s="48">
        <f t="shared" si="9"/>
        <v>234.18482502217338</v>
      </c>
      <c r="L22" s="48">
        <f t="shared" si="9"/>
        <v>237.92476130155507</v>
      </c>
      <c r="M22" s="48">
        <f t="shared" si="9"/>
        <v>278.35614377047148</v>
      </c>
      <c r="N22" s="48">
        <f t="shared" si="9"/>
        <v>360.65779313640036</v>
      </c>
      <c r="O22" s="48">
        <f t="shared" si="9"/>
        <v>347.29245891152891</v>
      </c>
      <c r="P22" s="48">
        <f t="shared" si="9"/>
        <v>271.87976092799693</v>
      </c>
      <c r="Q22" s="48">
        <f t="shared" si="9"/>
        <v>262.46658438353074</v>
      </c>
      <c r="R22" s="49">
        <f t="shared" si="9"/>
        <v>311.5536321172421</v>
      </c>
    </row>
    <row r="23" spans="1:18" ht="15.75" thickBot="1" x14ac:dyDescent="0.3">
      <c r="A23" s="143"/>
      <c r="B23" s="53" t="s">
        <v>16</v>
      </c>
      <c r="C23" s="54">
        <f>IFERROR(C21*365/C$13,"N/A")</f>
        <v>1.5694622848669142</v>
      </c>
      <c r="D23" s="96">
        <f t="shared" ref="D23:R23" si="10">IFERROR(D21*365/D$13,"N/A")</f>
        <v>1.5513728848669142</v>
      </c>
      <c r="E23" s="55">
        <f t="shared" si="10"/>
        <v>1.5572496450145028</v>
      </c>
      <c r="F23" s="55">
        <f t="shared" si="10"/>
        <v>1.6042637261952113</v>
      </c>
      <c r="G23" s="55">
        <f t="shared" si="10"/>
        <v>1.5748799254572685</v>
      </c>
      <c r="H23" s="55">
        <f t="shared" si="10"/>
        <v>1.4013318383730187</v>
      </c>
      <c r="I23" s="55">
        <f t="shared" si="10"/>
        <v>1.5334671189290443</v>
      </c>
      <c r="J23" s="55">
        <f t="shared" si="10"/>
        <v>1.5859090438665919</v>
      </c>
      <c r="K23" s="55">
        <f t="shared" si="10"/>
        <v>1.5585980003846986</v>
      </c>
      <c r="L23" s="55">
        <f t="shared" si="10"/>
        <v>1.5340984183541317</v>
      </c>
      <c r="M23" s="55">
        <f t="shared" si="10"/>
        <v>1.3112697821427424</v>
      </c>
      <c r="N23" s="55">
        <f t="shared" si="10"/>
        <v>1.0120396867785342</v>
      </c>
      <c r="O23" s="55">
        <f t="shared" si="10"/>
        <v>1.0509874045177066</v>
      </c>
      <c r="P23" s="55">
        <f t="shared" si="10"/>
        <v>1.3425052264065531</v>
      </c>
      <c r="Q23" s="55">
        <f t="shared" si="10"/>
        <v>1.3906532172744768</v>
      </c>
      <c r="R23" s="56">
        <f t="shared" si="10"/>
        <v>1.1715478889446722</v>
      </c>
    </row>
    <row r="24" spans="1:18" ht="15.75" thickBot="1" x14ac:dyDescent="0.3"/>
    <row r="25" spans="1:18" ht="15.75" thickBot="1" x14ac:dyDescent="0.3">
      <c r="A25" s="141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2"/>
      <c r="B27" s="42" t="s">
        <v>35</v>
      </c>
      <c r="C27" s="43">
        <f t="shared" ref="C27:R27" si="12">C$8*(1-$C$25)</f>
        <v>0.17461849355291054</v>
      </c>
      <c r="D27" s="93">
        <f t="shared" si="12"/>
        <v>0.17461849355291054</v>
      </c>
      <c r="E27" s="44">
        <f t="shared" si="12"/>
        <v>0.17519289649222936</v>
      </c>
      <c r="F27" s="44">
        <f t="shared" si="12"/>
        <v>0.17978812000677963</v>
      </c>
      <c r="G27" s="44">
        <f t="shared" si="12"/>
        <v>0.1769161053101857</v>
      </c>
      <c r="H27" s="44">
        <f t="shared" si="12"/>
        <v>0.14934476422288401</v>
      </c>
      <c r="I27" s="44">
        <f t="shared" si="12"/>
        <v>0.21252908754795036</v>
      </c>
      <c r="J27" s="44">
        <f t="shared" si="12"/>
        <v>0.3073055725355498</v>
      </c>
      <c r="K27" s="44">
        <f t="shared" si="12"/>
        <v>0.31419840780737518</v>
      </c>
      <c r="L27" s="44">
        <f t="shared" si="12"/>
        <v>0.2699693814798288</v>
      </c>
      <c r="M27" s="44">
        <f t="shared" si="12"/>
        <v>0.36417146352810947</v>
      </c>
      <c r="N27" s="44">
        <f t="shared" si="12"/>
        <v>0.36991549292129738</v>
      </c>
      <c r="O27" s="44">
        <f t="shared" si="12"/>
        <v>0.36761788116402216</v>
      </c>
      <c r="P27" s="44">
        <f t="shared" si="12"/>
        <v>0.2217195345770509</v>
      </c>
      <c r="Q27" s="44">
        <f t="shared" si="12"/>
        <v>0.2699693814798288</v>
      </c>
      <c r="R27" s="45">
        <f t="shared" si="12"/>
        <v>0.51983466008350021</v>
      </c>
    </row>
    <row r="28" spans="1:18" x14ac:dyDescent="0.25">
      <c r="A28" s="142"/>
      <c r="B28" s="22" t="s">
        <v>17</v>
      </c>
      <c r="C28" s="50">
        <f t="shared" ref="C28:R28" si="13">C27-C$11</f>
        <v>-0.12274150644708942</v>
      </c>
      <c r="D28" s="94">
        <f t="shared" si="13"/>
        <v>-0.14752150644708945</v>
      </c>
      <c r="E28" s="51">
        <f t="shared" si="13"/>
        <v>-0.14694710350777063</v>
      </c>
      <c r="F28" s="51">
        <f t="shared" si="13"/>
        <v>-0.14235187999322035</v>
      </c>
      <c r="G28" s="51">
        <f t="shared" si="13"/>
        <v>-0.14522389468981428</v>
      </c>
      <c r="H28" s="51">
        <f t="shared" si="13"/>
        <v>-2.4115235777115968E-2</v>
      </c>
      <c r="I28" s="51">
        <f t="shared" si="13"/>
        <v>-3.5270912452049608E-2</v>
      </c>
      <c r="J28" s="51">
        <f t="shared" si="13"/>
        <v>-8.9174427464450146E-2</v>
      </c>
      <c r="K28" s="51">
        <f t="shared" si="13"/>
        <v>-3.2721592192624771E-2</v>
      </c>
      <c r="L28" s="51">
        <f t="shared" si="13"/>
        <v>-0.15129061852017117</v>
      </c>
      <c r="M28" s="51">
        <f t="shared" si="13"/>
        <v>-6.9478536471890562E-2</v>
      </c>
      <c r="N28" s="51">
        <f t="shared" si="13"/>
        <v>-0.10090450707870258</v>
      </c>
      <c r="O28" s="51">
        <f t="shared" si="13"/>
        <v>-0.17754211883597781</v>
      </c>
      <c r="P28" s="51">
        <f t="shared" si="13"/>
        <v>-0.31105046542294906</v>
      </c>
      <c r="Q28" s="51">
        <f t="shared" si="13"/>
        <v>-0.27519061852017118</v>
      </c>
      <c r="R28" s="52">
        <f t="shared" si="13"/>
        <v>-2.5325339916499767E-2</v>
      </c>
    </row>
    <row r="29" spans="1:18" x14ac:dyDescent="0.25">
      <c r="A29" s="14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3"/>
      <c r="B30" s="53" t="s">
        <v>16</v>
      </c>
      <c r="C30" s="54">
        <f>IFERROR(C28*365/C$13,"N/A")</f>
        <v>-8.9601299706375273E-2</v>
      </c>
      <c r="D30" s="96">
        <f t="shared" ref="D30:R30" si="15">IFERROR(D28*365/D$13,"N/A")</f>
        <v>-0.10769069970637529</v>
      </c>
      <c r="E30" s="55">
        <f t="shared" si="15"/>
        <v>-0.10727138556067256</v>
      </c>
      <c r="F30" s="55">
        <f t="shared" si="15"/>
        <v>-0.10391687239505086</v>
      </c>
      <c r="G30" s="55">
        <f t="shared" si="15"/>
        <v>-0.10601344312356444</v>
      </c>
      <c r="H30" s="55">
        <f t="shared" si="15"/>
        <v>-1.7604122117294656E-2</v>
      </c>
      <c r="I30" s="55">
        <f t="shared" si="15"/>
        <v>-1.9805973915381702E-2</v>
      </c>
      <c r="J30" s="55">
        <f t="shared" si="15"/>
        <v>-3.6165184471693666E-2</v>
      </c>
      <c r="K30" s="55">
        <f t="shared" si="15"/>
        <v>-1.2571980158218992E-2</v>
      </c>
      <c r="L30" s="55">
        <f t="shared" si="15"/>
        <v>-6.9026344699828102E-2</v>
      </c>
      <c r="M30" s="55">
        <f t="shared" si="15"/>
        <v>-1.9507435240184657E-2</v>
      </c>
      <c r="N30" s="55">
        <f t="shared" si="15"/>
        <v>-2.1664791225721437E-2</v>
      </c>
      <c r="O30" s="55">
        <f t="shared" si="15"/>
        <v>-4.0501795859457436E-2</v>
      </c>
      <c r="P30" s="55">
        <f t="shared" si="15"/>
        <v>-0.16219059982768058</v>
      </c>
      <c r="Q30" s="55">
        <f t="shared" si="15"/>
        <v>-0.11817008912924999</v>
      </c>
      <c r="R30" s="56">
        <f t="shared" si="15"/>
        <v>-4.4017852712011502E-3</v>
      </c>
    </row>
    <row r="31" spans="1:18" ht="15.75" thickBot="1" x14ac:dyDescent="0.3"/>
    <row r="32" spans="1:18" ht="15.75" thickBot="1" x14ac:dyDescent="0.3">
      <c r="A32" s="141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2"/>
      <c r="B34" s="42" t="s">
        <v>35</v>
      </c>
      <c r="C34" s="43">
        <f t="shared" ref="C34:R34" si="17">C$8*(1-$C$32)</f>
        <v>1.0203610767850788</v>
      </c>
      <c r="D34" s="93">
        <f t="shared" si="17"/>
        <v>1.0203610767850788</v>
      </c>
      <c r="E34" s="44">
        <f t="shared" si="17"/>
        <v>1.0237175276955561</v>
      </c>
      <c r="F34" s="44">
        <f t="shared" si="17"/>
        <v>1.050569134979374</v>
      </c>
      <c r="G34" s="44">
        <f t="shared" si="17"/>
        <v>1.0337868804269879</v>
      </c>
      <c r="H34" s="44">
        <f t="shared" si="17"/>
        <v>0.87267723672408049</v>
      </c>
      <c r="I34" s="44">
        <f t="shared" si="17"/>
        <v>1.2418868368765761</v>
      </c>
      <c r="J34" s="44">
        <f t="shared" si="17"/>
        <v>1.7957012371053196</v>
      </c>
      <c r="K34" s="44">
        <f t="shared" si="17"/>
        <v>1.8359786480310463</v>
      </c>
      <c r="L34" s="44">
        <f t="shared" si="17"/>
        <v>1.5775319279242994</v>
      </c>
      <c r="M34" s="44">
        <f t="shared" si="17"/>
        <v>2.1279898772425656</v>
      </c>
      <c r="N34" s="44">
        <f t="shared" si="17"/>
        <v>2.1615543863473379</v>
      </c>
      <c r="O34" s="44">
        <f t="shared" si="17"/>
        <v>2.1481285827054291</v>
      </c>
      <c r="P34" s="44">
        <f t="shared" si="17"/>
        <v>1.295590051444212</v>
      </c>
      <c r="Q34" s="44">
        <f t="shared" si="17"/>
        <v>1.5775319279242994</v>
      </c>
      <c r="R34" s="45">
        <f t="shared" si="17"/>
        <v>3.0375880739818957</v>
      </c>
    </row>
    <row r="35" spans="1:18" x14ac:dyDescent="0.25">
      <c r="A35" s="142"/>
      <c r="B35" s="22" t="s">
        <v>17</v>
      </c>
      <c r="C35" s="50">
        <f>C34-C$11</f>
        <v>0.72300107678507886</v>
      </c>
      <c r="D35" s="94">
        <f>D34-D$11</f>
        <v>0.69822107678507883</v>
      </c>
      <c r="E35" s="51">
        <f>E34-E$11</f>
        <v>0.70157752769555615</v>
      </c>
      <c r="F35" s="51">
        <f t="shared" ref="F35:Q35" si="18">F34-F$11</f>
        <v>0.728429134979374</v>
      </c>
      <c r="G35" s="51">
        <f t="shared" si="18"/>
        <v>0.71164688042698787</v>
      </c>
      <c r="H35" s="51">
        <f t="shared" si="18"/>
        <v>0.69921723672408054</v>
      </c>
      <c r="I35" s="51">
        <f t="shared" si="18"/>
        <v>0.99408683687657606</v>
      </c>
      <c r="J35" s="51">
        <f t="shared" si="18"/>
        <v>1.3992212371053196</v>
      </c>
      <c r="K35" s="51">
        <f t="shared" si="18"/>
        <v>1.4890586480310464</v>
      </c>
      <c r="L35" s="51">
        <f t="shared" si="18"/>
        <v>1.1562719279242994</v>
      </c>
      <c r="M35" s="51">
        <f t="shared" si="18"/>
        <v>1.6943398772425655</v>
      </c>
      <c r="N35" s="51">
        <f t="shared" si="18"/>
        <v>1.6907343863473379</v>
      </c>
      <c r="O35" s="51">
        <f t="shared" si="18"/>
        <v>1.602968582705429</v>
      </c>
      <c r="P35" s="51">
        <f t="shared" si="18"/>
        <v>0.76282005144421206</v>
      </c>
      <c r="Q35" s="51">
        <f t="shared" si="18"/>
        <v>1.0323719279242995</v>
      </c>
      <c r="R35" s="52">
        <f>R34-R$11</f>
        <v>2.4924280739818956</v>
      </c>
    </row>
    <row r="36" spans="1:18" x14ac:dyDescent="0.25">
      <c r="A36" s="142"/>
      <c r="B36" s="46" t="s">
        <v>15</v>
      </c>
      <c r="C36" s="47">
        <f>IF(C35&gt;0,C$13/C35,"N/A")</f>
        <v>691.56190226343369</v>
      </c>
      <c r="D36" s="95">
        <f>IF(D35&gt;0,D$13/D35,"N/A")</f>
        <v>716.10556688180043</v>
      </c>
      <c r="E36" s="48">
        <f>IF(E35&gt;0,E$13/E35,"N/A")</f>
        <v>712.67961167788565</v>
      </c>
      <c r="F36" s="48">
        <f t="shared" ref="F36:Q36" si="19">IF(F35&gt;0,F$13/F35,"N/A")</f>
        <v>686.4085687815849</v>
      </c>
      <c r="G36" s="48">
        <f t="shared" si="19"/>
        <v>702.59564645319631</v>
      </c>
      <c r="H36" s="48">
        <f t="shared" si="19"/>
        <v>715.08534649769501</v>
      </c>
      <c r="I36" s="48">
        <f t="shared" si="19"/>
        <v>653.86641879526542</v>
      </c>
      <c r="J36" s="48">
        <f t="shared" si="19"/>
        <v>643.2149370902215</v>
      </c>
      <c r="K36" s="48">
        <f t="shared" si="19"/>
        <v>637.98695992005867</v>
      </c>
      <c r="L36" s="48">
        <f t="shared" si="19"/>
        <v>691.87877062459961</v>
      </c>
      <c r="M36" s="48">
        <f t="shared" si="19"/>
        <v>767.26046377169052</v>
      </c>
      <c r="N36" s="48">
        <f t="shared" si="19"/>
        <v>1005.4802302049818</v>
      </c>
      <c r="O36" s="48">
        <f t="shared" si="19"/>
        <v>998.14807181035405</v>
      </c>
      <c r="P36" s="48">
        <f t="shared" si="19"/>
        <v>917.64761384381836</v>
      </c>
      <c r="Q36" s="48">
        <f t="shared" si="19"/>
        <v>823.34668059893988</v>
      </c>
      <c r="R36" s="49">
        <f>IF(R35&gt;0,R$13/R35,"N/A")</f>
        <v>842.55189624992727</v>
      </c>
    </row>
    <row r="37" spans="1:18" ht="15.75" thickBot="1" x14ac:dyDescent="0.3">
      <c r="A37" s="143"/>
      <c r="B37" s="53" t="s">
        <v>16</v>
      </c>
      <c r="C37" s="12">
        <f>IFERROR(C35*365/C$13,"N/A")</f>
        <v>0.52779078605310759</v>
      </c>
      <c r="D37" s="97">
        <f t="shared" ref="D37:R37" si="20">IFERROR(D35*365/D$13,"N/A")</f>
        <v>0.50970138605310755</v>
      </c>
      <c r="E37" s="13">
        <f t="shared" si="20"/>
        <v>0.51215159521775599</v>
      </c>
      <c r="F37" s="13">
        <f t="shared" si="20"/>
        <v>0.53175326853494298</v>
      </c>
      <c r="G37" s="13">
        <f t="shared" si="20"/>
        <v>0.51950222271170121</v>
      </c>
      <c r="H37" s="13">
        <f t="shared" si="20"/>
        <v>0.51042858280857872</v>
      </c>
      <c r="I37" s="13">
        <f t="shared" si="20"/>
        <v>0.55821799301530806</v>
      </c>
      <c r="J37" s="13">
        <f t="shared" si="20"/>
        <v>0.56746194615937962</v>
      </c>
      <c r="K37" s="13">
        <f t="shared" si="20"/>
        <v>0.57211200687508623</v>
      </c>
      <c r="L37" s="13">
        <f t="shared" si="20"/>
        <v>0.52754906711546168</v>
      </c>
      <c r="M37" s="13">
        <f t="shared" si="20"/>
        <v>0.47571850399502802</v>
      </c>
      <c r="N37" s="13">
        <f t="shared" si="20"/>
        <v>0.36301061824516367</v>
      </c>
      <c r="O37" s="13">
        <f t="shared" si="20"/>
        <v>0.36567720792967601</v>
      </c>
      <c r="P37" s="13">
        <f t="shared" si="20"/>
        <v>0.3977561696816248</v>
      </c>
      <c r="Q37" s="13">
        <f t="shared" si="20"/>
        <v>0.44331265140278747</v>
      </c>
      <c r="R37" s="14">
        <f t="shared" si="20"/>
        <v>0.43320773666828183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workbookViewId="0">
      <selection activeCell="B30" sqref="B30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26"/>
      <c r="B32" s="127"/>
      <c r="C32" s="128"/>
      <c r="D32" s="127"/>
      <c r="E32" s="126"/>
      <c r="F32" s="12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5554.9000000000005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1478.1799999999994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2021-08-22T02:34:30Z</cp:lastPrinted>
  <dcterms:created xsi:type="dcterms:W3CDTF">2021-03-17T05:33:13Z</dcterms:created>
  <dcterms:modified xsi:type="dcterms:W3CDTF">2021-08-30T05:09:46Z</dcterms:modified>
</cp:coreProperties>
</file>