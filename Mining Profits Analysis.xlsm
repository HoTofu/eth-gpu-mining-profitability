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0B455CC3-F6C0-4B9E-8EF3-B2DD1AF5801C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3" l="1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L7" i="3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C39" i="3"/>
  <c r="C31" i="3"/>
  <c r="J8" i="5"/>
  <c r="I4" i="5"/>
  <c r="I5" i="5"/>
  <c r="E6" i="1"/>
  <c r="F6" i="1" s="1"/>
  <c r="E5" i="1"/>
  <c r="E4" i="1"/>
  <c r="F4" i="1" s="1"/>
  <c r="F5" i="1" l="1"/>
  <c r="C23" i="3"/>
  <c r="F10" i="3"/>
  <c r="G10" i="3"/>
  <c r="G33" i="3" s="1"/>
  <c r="H10" i="3"/>
  <c r="H41" i="3" s="1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D10" i="3"/>
  <c r="D25" i="3" s="1"/>
  <c r="P10" i="3"/>
  <c r="P25" i="3" s="1"/>
  <c r="E10" i="3"/>
  <c r="E25" i="3" s="1"/>
  <c r="Q25" i="3"/>
  <c r="Q33" i="3"/>
  <c r="Q41" i="3"/>
  <c r="F7" i="1"/>
  <c r="D6" i="3" s="1"/>
  <c r="P13" i="3" s="1"/>
  <c r="O25" i="3" l="1"/>
  <c r="O13" i="3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M34" i="3" s="1"/>
  <c r="M35" i="3" s="1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F28" i="3" s="1"/>
  <c r="Q26" i="3"/>
  <c r="Q28" i="3" s="1"/>
  <c r="Q34" i="3"/>
  <c r="Q36" i="3" s="1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<sst xmlns="http://schemas.openxmlformats.org/spreadsheetml/2006/main" count="2183" uniqueCount="71">
  <si>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</si>
  <si>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</si>
  <si>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</si>
  <si>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</si>
  <si>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</si>
  <si>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</si>
  <si>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</si>
  <si>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</si>
  <si>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</si>
  <si>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</si>
  <si>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</si>
  <si>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</si>
  <si>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</si>
  <si>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</si>
  <si>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</si>
  <si>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</si>
  <si>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</si>
  <si>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</si>
  <si>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</si>
  <si>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</si>
  <si>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</si>
  <si>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</si>
  <si>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</si>
  <si>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</si>
  <si>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</si>
  <si>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</si>
  <si>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</si>
  <si>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</si>
  <si>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</si>
  <si>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</si>
  <si>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</si>
  <si>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</si>
  <si>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</si>
  <si>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</si>
  <si>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</si>
  <si>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</si>
  <si>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</si>
  <si>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</si>
  <si>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</si>
  <si>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</si>
  <si>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</si>
  <si>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</si>
  <si>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</si>
  <si>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</si>
  <si>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</si>
  <si>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</si>
  <si>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</si>
  <si>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</si>
  <si>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</si>
  <si>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</si>
  <si>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</si>
  <si>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</si>
  <si>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</si>
  <si>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</si>
  <si>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</si>
  <si>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</si>
  <si>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</si>
  <si>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</si>
  <si>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</si>
  <si>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</si>
  <si>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</si>
  <si>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</si>
  <si>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</si>
  <si>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</si>
  <si>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</si>
  <si>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</si>
  <si>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</si>
  <si>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</si>
  <si>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</si>
  <si>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</si>
  <si>
    <t>Efficiency (kH/s/W)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</si>
</sst>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R18" sqref="R18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96" t="s">
        <v>65</v>
      </c>
      <c r="J1" s="96"/>
      <c r="K1" s="97"/>
      <c r="L1" s="95" t="s">
        <v>64</v>
      </c>
      <c r="M1" s="96"/>
      <c r="N1" s="97"/>
      <c r="O1" s="95" t="s">
        <v>63</v>
      </c>
      <c r="P1" s="96"/>
      <c r="Q1" s="79" t="s">
        <v>68</v>
      </c>
    </row>
    <row r="2" spans="1:29" s="7" customFormat="1" ht="5.25" customHeight="1" x14ac:dyDescent="0.25"/>
    <row r="3" spans="1:29" s="7" customFormat="1" ht="31.5" x14ac:dyDescent="0.25">
      <c r="A3" s="104" t="s">
        <v>38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</row>
    <row r="4" spans="1:29" s="7" customFormat="1" x14ac:dyDescent="0.25">
      <c r="A4" s="87" t="s">
        <v>47</v>
      </c>
      <c r="B4" s="88"/>
      <c r="C4" s="86">
        <v>44372</v>
      </c>
      <c r="D4" s="86"/>
      <c r="N4" s="85" t="s">
        <v>52</v>
      </c>
      <c r="O4" s="85"/>
      <c r="P4" s="85"/>
      <c r="Q4" s="85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98" t="s">
        <v>33</v>
      </c>
      <c r="B6" s="89" t="s">
        <v>59</v>
      </c>
      <c r="C6" s="90"/>
      <c r="D6" s="60">
        <f>'Electricity Calculations'!F7</f>
        <v>10.324999999999999</v>
      </c>
      <c r="E6" s="1"/>
      <c r="F6" s="89" t="s">
        <v>53</v>
      </c>
      <c r="G6" s="90"/>
      <c r="H6" s="58">
        <v>2229.7600000000002</v>
      </c>
      <c r="I6" s="1"/>
      <c r="J6" s="89" t="s">
        <v>42</v>
      </c>
      <c r="K6" s="90"/>
      <c r="L6" s="59">
        <v>13.28</v>
      </c>
      <c r="N6" s="91" t="s">
        <v>51</v>
      </c>
      <c r="O6" s="92"/>
      <c r="P6" s="83">
        <f>24*3600/$L$6*$L$7*$H$6/D7/10000</f>
        <v>6.0189978947368425</v>
      </c>
    </row>
    <row r="7" spans="1:29" s="7" customFormat="1" ht="15.75" thickBot="1" x14ac:dyDescent="0.3">
      <c r="A7" s="99"/>
      <c r="B7" s="89" t="s">
        <v>49</v>
      </c>
      <c r="C7" s="90"/>
      <c r="D7" s="59">
        <v>494</v>
      </c>
      <c r="E7" s="1"/>
      <c r="F7" s="89" t="s">
        <v>60</v>
      </c>
      <c r="G7" s="90"/>
      <c r="H7" s="58">
        <v>13335</v>
      </c>
      <c r="I7" s="1"/>
      <c r="J7" s="89" t="s">
        <v>41</v>
      </c>
      <c r="K7" s="90"/>
      <c r="L7" s="60">
        <f>$H$7/(24*3600/L6)</f>
        <v>2.049638888888889</v>
      </c>
      <c r="N7" s="93"/>
      <c r="O7" s="94"/>
      <c r="P7" s="84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99"/>
      <c r="U8"/>
      <c r="V8"/>
      <c r="W8"/>
      <c r="X8"/>
      <c r="Y8"/>
      <c r="Z8"/>
      <c r="AA8"/>
      <c r="AB8"/>
      <c r="AC8"/>
    </row>
    <row r="9" spans="1:29" ht="15.75" thickBot="1" x14ac:dyDescent="0.3">
      <c r="A9" s="99"/>
      <c r="B9" s="8" t="s">
        <v>0</v>
      </c>
      <c r="C9" s="10">
        <v>1070</v>
      </c>
      <c r="D9" s="11">
        <v>1080</v>
      </c>
      <c r="E9" s="11" t="s">
        <v>11</v>
      </c>
      <c r="F9" s="11" t="s">
        <v>48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99"/>
      <c r="B10" s="27" t="s">
        <v>54</v>
      </c>
      <c r="C10" s="62">
        <f t="shared" ref="C10:Q10" si="0">$P$6*C11/100</f>
        <v>1.8056993684210527</v>
      </c>
      <c r="D10" s="28">
        <f t="shared" si="0"/>
        <v>2.1668392421052634</v>
      </c>
      <c r="E10" s="28">
        <f t="shared" si="0"/>
        <v>2.7687390315789475</v>
      </c>
      <c r="F10" s="28">
        <f t="shared" si="0"/>
        <v>1.8056993684210527</v>
      </c>
      <c r="G10" s="28">
        <f t="shared" si="0"/>
        <v>1.9260793263157896</v>
      </c>
      <c r="H10" s="28">
        <f t="shared" si="0"/>
        <v>2.543026610526316</v>
      </c>
      <c r="I10" s="28">
        <f t="shared" si="0"/>
        <v>2.6483590736842109</v>
      </c>
      <c r="J10" s="28">
        <f t="shared" si="0"/>
        <v>2.5881690947368425</v>
      </c>
      <c r="K10" s="28">
        <f t="shared" si="0"/>
        <v>2.5881690947368425</v>
      </c>
      <c r="L10" s="28">
        <f t="shared" si="0"/>
        <v>2.5400171115789476</v>
      </c>
      <c r="M10" s="28">
        <f t="shared" si="0"/>
        <v>3.563246753684211</v>
      </c>
      <c r="N10" s="28">
        <f t="shared" si="0"/>
        <v>3.6414937263157894</v>
      </c>
      <c r="O10" s="28">
        <f t="shared" si="0"/>
        <v>3.6451051250526318</v>
      </c>
      <c r="P10" s="28">
        <f t="shared" si="0"/>
        <v>5.7782379789473692</v>
      </c>
      <c r="Q10" s="29">
        <f t="shared" si="0"/>
        <v>7.2227974736842109</v>
      </c>
    </row>
    <row r="11" spans="1:29" x14ac:dyDescent="0.25">
      <c r="A11" s="99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  <c r="S11" s="2"/>
    </row>
    <row r="12" spans="1:29" x14ac:dyDescent="0.25">
      <c r="A12" s="99"/>
      <c r="B12" s="30" t="s">
        <v>37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  <c r="S12" s="2"/>
    </row>
    <row r="13" spans="1:29" x14ac:dyDescent="0.25">
      <c r="A13" s="99"/>
      <c r="B13" s="16" t="s">
        <v>58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99"/>
      <c r="B14" s="30" t="s">
        <v>55</v>
      </c>
      <c r="C14" s="34">
        <f t="shared" ref="C14:Q14" si="2">C10-C13</f>
        <v>1.5083393684210527</v>
      </c>
      <c r="D14" s="35">
        <f t="shared" si="2"/>
        <v>1.8323092421052634</v>
      </c>
      <c r="E14" s="35">
        <f t="shared" si="2"/>
        <v>2.1740190315789478</v>
      </c>
      <c r="F14" s="35">
        <f t="shared" ref="F14" si="3">F10-F13</f>
        <v>1.5826793684210527</v>
      </c>
      <c r="G14" s="35">
        <f>G10-G13</f>
        <v>1.7030593263157896</v>
      </c>
      <c r="H14" s="35">
        <f t="shared" si="2"/>
        <v>2.2704466105263159</v>
      </c>
      <c r="I14" s="35">
        <f t="shared" si="2"/>
        <v>2.350999073684211</v>
      </c>
      <c r="J14" s="35">
        <f t="shared" si="2"/>
        <v>2.2784190947368428</v>
      </c>
      <c r="K14" s="35">
        <f t="shared" si="2"/>
        <v>2.3205450947368425</v>
      </c>
      <c r="L14" s="35">
        <f t="shared" si="2"/>
        <v>2.1930971115789477</v>
      </c>
      <c r="M14" s="35">
        <f t="shared" si="2"/>
        <v>2.9933067536842111</v>
      </c>
      <c r="N14" s="35">
        <f t="shared" si="2"/>
        <v>3.3441337263157895</v>
      </c>
      <c r="O14" s="35">
        <f t="shared" si="2"/>
        <v>3.347745125052632</v>
      </c>
      <c r="P14" s="35">
        <f t="shared" si="2"/>
        <v>5.2330779789473691</v>
      </c>
      <c r="Q14" s="36">
        <f t="shared" si="2"/>
        <v>6.5165674736842112</v>
      </c>
    </row>
    <row r="15" spans="1:29" ht="17.25" x14ac:dyDescent="0.25">
      <c r="A15" s="99"/>
      <c r="B15" s="16" t="s">
        <v>56</v>
      </c>
      <c r="C15" s="20">
        <v>600</v>
      </c>
      <c r="D15" s="21">
        <v>700</v>
      </c>
      <c r="E15" s="21">
        <v>950</v>
      </c>
      <c r="F15" s="21">
        <v>500</v>
      </c>
      <c r="G15" s="21">
        <v>800</v>
      </c>
      <c r="H15" s="21">
        <v>950</v>
      </c>
      <c r="I15" s="21">
        <v>1000</v>
      </c>
      <c r="J15" s="21">
        <v>1000</v>
      </c>
      <c r="K15" s="21">
        <v>1000</v>
      </c>
      <c r="L15" s="21">
        <v>1000</v>
      </c>
      <c r="M15" s="21">
        <v>1200</v>
      </c>
      <c r="N15" s="21">
        <v>1200</v>
      </c>
      <c r="O15" s="21">
        <v>1300</v>
      </c>
      <c r="P15" s="21">
        <v>1850</v>
      </c>
      <c r="Q15" s="22">
        <v>2777</v>
      </c>
    </row>
    <row r="16" spans="1:29" x14ac:dyDescent="0.25">
      <c r="A16" s="99"/>
      <c r="B16" s="30" t="s">
        <v>70</v>
      </c>
      <c r="C16" s="80">
        <f>C11/C12*1000</f>
        <v>250</v>
      </c>
      <c r="D16" s="81">
        <f t="shared" ref="D16:Q16" si="4">D11/D12*1000</f>
        <v>266.66666666666669</v>
      </c>
      <c r="E16" s="81">
        <f t="shared" si="4"/>
        <v>191.66666666666669</v>
      </c>
      <c r="F16" s="81">
        <f t="shared" si="4"/>
        <v>333.33333333333331</v>
      </c>
      <c r="G16" s="81">
        <f t="shared" si="4"/>
        <v>355.55555555555554</v>
      </c>
      <c r="H16" s="81">
        <f t="shared" si="4"/>
        <v>384.09090909090912</v>
      </c>
      <c r="I16" s="81">
        <f t="shared" si="4"/>
        <v>366.66666666666663</v>
      </c>
      <c r="J16" s="81">
        <f t="shared" si="4"/>
        <v>344</v>
      </c>
      <c r="K16" s="81">
        <f t="shared" si="4"/>
        <v>398.14814814814815</v>
      </c>
      <c r="L16" s="81">
        <f t="shared" si="4"/>
        <v>301.42857142857144</v>
      </c>
      <c r="M16" s="81">
        <f t="shared" si="4"/>
        <v>257.39130434782606</v>
      </c>
      <c r="N16" s="81">
        <f t="shared" si="4"/>
        <v>504.16666666666663</v>
      </c>
      <c r="O16" s="81">
        <f t="shared" si="4"/>
        <v>504.66666666666669</v>
      </c>
      <c r="P16" s="81">
        <f t="shared" si="4"/>
        <v>436.36363636363632</v>
      </c>
      <c r="Q16" s="82">
        <f t="shared" si="4"/>
        <v>421.05263157894734</v>
      </c>
    </row>
    <row r="17" spans="1:29" x14ac:dyDescent="0.25">
      <c r="A17" s="99"/>
      <c r="B17" s="16" t="s">
        <v>57</v>
      </c>
      <c r="C17" s="40">
        <f t="shared" ref="C17" si="5">C15/C14</f>
        <v>397.78846363208504</v>
      </c>
      <c r="D17" s="41">
        <f t="shared" ref="D17:Q17" si="6">D15/D14</f>
        <v>382.03158283244966</v>
      </c>
      <c r="E17" s="41">
        <f t="shared" si="6"/>
        <v>436.97869531069995</v>
      </c>
      <c r="F17" s="41">
        <f t="shared" ref="F17" si="7">F15/F14</f>
        <v>315.91995825333908</v>
      </c>
      <c r="G17" s="41">
        <f t="shared" si="6"/>
        <v>469.74288425443854</v>
      </c>
      <c r="H17" s="41">
        <f t="shared" si="6"/>
        <v>418.41988073869703</v>
      </c>
      <c r="I17" s="41">
        <f t="shared" si="6"/>
        <v>425.35108209673467</v>
      </c>
      <c r="J17" s="41">
        <f t="shared" si="6"/>
        <v>438.90081605706519</v>
      </c>
      <c r="K17" s="41">
        <f t="shared" si="6"/>
        <v>430.93323300118988</v>
      </c>
      <c r="L17" s="41">
        <f t="shared" si="6"/>
        <v>455.97616025313056</v>
      </c>
      <c r="M17" s="41">
        <f t="shared" si="6"/>
        <v>400.89442838527003</v>
      </c>
      <c r="N17" s="41">
        <f t="shared" si="6"/>
        <v>358.83732476273673</v>
      </c>
      <c r="O17" s="41">
        <f t="shared" si="6"/>
        <v>388.32107924570926</v>
      </c>
      <c r="P17" s="41">
        <f t="shared" si="6"/>
        <v>353.52043432995555</v>
      </c>
      <c r="Q17" s="42">
        <f t="shared" si="6"/>
        <v>426.14459394678732</v>
      </c>
    </row>
    <row r="18" spans="1:29" ht="18" thickBot="1" x14ac:dyDescent="0.3">
      <c r="A18" s="99"/>
      <c r="B18" s="9" t="s">
        <v>43</v>
      </c>
      <c r="C18" s="37">
        <f t="shared" ref="C18" si="8">C14*365/C15</f>
        <v>0.91757311578947376</v>
      </c>
      <c r="D18" s="38">
        <f t="shared" ref="D18:Q18" si="9">D14*365/D15</f>
        <v>0.95541839052631594</v>
      </c>
      <c r="E18" s="38">
        <f t="shared" si="9"/>
        <v>0.8352809963434904</v>
      </c>
      <c r="F18" s="38">
        <f t="shared" ref="F18" si="10">F14*365/F15</f>
        <v>1.1553559389473684</v>
      </c>
      <c r="G18" s="38">
        <f t="shared" si="9"/>
        <v>0.77702081763157904</v>
      </c>
      <c r="H18" s="38">
        <f t="shared" si="9"/>
        <v>0.87232948720221604</v>
      </c>
      <c r="I18" s="38">
        <f t="shared" si="9"/>
        <v>0.85811466189473695</v>
      </c>
      <c r="J18" s="38">
        <f t="shared" si="9"/>
        <v>0.83162296957894766</v>
      </c>
      <c r="K18" s="38">
        <f t="shared" si="9"/>
        <v>0.84699895957894755</v>
      </c>
      <c r="L18" s="38">
        <f t="shared" si="9"/>
        <v>0.80048044572631594</v>
      </c>
      <c r="M18" s="38">
        <f t="shared" si="9"/>
        <v>0.91046413757894751</v>
      </c>
      <c r="N18" s="38">
        <f t="shared" si="9"/>
        <v>1.0171740084210528</v>
      </c>
      <c r="O18" s="38">
        <f t="shared" si="9"/>
        <v>0.93994382357246986</v>
      </c>
      <c r="P18" s="38">
        <f t="shared" si="9"/>
        <v>1.0324721417923188</v>
      </c>
      <c r="Q18" s="39">
        <f t="shared" si="9"/>
        <v>0.8565167907435135</v>
      </c>
    </row>
    <row r="19" spans="1:29" s="7" customFormat="1" x14ac:dyDescent="0.25">
      <c r="A19" s="99"/>
      <c r="B19" s="105" t="s">
        <v>44</v>
      </c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7"/>
      <c r="U19"/>
      <c r="V19"/>
      <c r="W19"/>
      <c r="X19"/>
      <c r="Y19"/>
      <c r="Z19"/>
      <c r="AA19"/>
      <c r="AB19"/>
      <c r="AC19"/>
    </row>
    <row r="20" spans="1:29" ht="15.75" x14ac:dyDescent="0.25">
      <c r="A20" s="99"/>
      <c r="B20" s="108" t="s">
        <v>46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10"/>
    </row>
    <row r="21" spans="1:29" ht="16.5" thickBot="1" x14ac:dyDescent="0.3">
      <c r="A21" s="100"/>
      <c r="B21" s="111" t="s">
        <v>45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3"/>
    </row>
    <row r="22" spans="1:29" ht="15.75" thickBot="1" x14ac:dyDescent="0.3"/>
    <row r="23" spans="1:29" ht="15.75" thickBot="1" x14ac:dyDescent="0.3">
      <c r="A23" s="98" t="s">
        <v>19</v>
      </c>
      <c r="B23" s="6" t="s">
        <v>34</v>
      </c>
      <c r="C23" s="61">
        <f>1-2/$L$7</f>
        <v>2.4218358247387828E-2</v>
      </c>
    </row>
    <row r="24" spans="1:29" ht="15.75" customHeight="1" thickBot="1" x14ac:dyDescent="0.3">
      <c r="A24" s="99"/>
      <c r="B24" s="3" t="s">
        <v>0</v>
      </c>
      <c r="C24" s="24">
        <f>C$9</f>
        <v>1070</v>
      </c>
      <c r="D24" s="25">
        <f t="shared" ref="D24:Q24" si="11">D$9</f>
        <v>1080</v>
      </c>
      <c r="E24" s="25" t="str">
        <f t="shared" si="11"/>
        <v>1080 Ti</v>
      </c>
      <c r="F24" s="25" t="str">
        <f t="shared" si="11"/>
        <v>1660s</v>
      </c>
      <c r="G24" s="25">
        <f t="shared" si="11"/>
        <v>2060</v>
      </c>
      <c r="H24" s="25" t="str">
        <f t="shared" si="11"/>
        <v>2060s</v>
      </c>
      <c r="I24" s="25">
        <f t="shared" si="11"/>
        <v>2070</v>
      </c>
      <c r="J24" s="25" t="str">
        <f t="shared" si="11"/>
        <v>2070s</v>
      </c>
      <c r="K24" s="25">
        <f t="shared" si="11"/>
        <v>2080</v>
      </c>
      <c r="L24" s="25" t="str">
        <f t="shared" si="11"/>
        <v>2080s</v>
      </c>
      <c r="M24" s="25" t="str">
        <f t="shared" si="11"/>
        <v>2080Ti</v>
      </c>
      <c r="N24" s="25" t="str">
        <f t="shared" si="11"/>
        <v>3060 Ti</v>
      </c>
      <c r="O24" s="25">
        <f t="shared" si="11"/>
        <v>3070</v>
      </c>
      <c r="P24" s="25">
        <f t="shared" si="11"/>
        <v>3080</v>
      </c>
      <c r="Q24" s="26">
        <f t="shared" si="11"/>
        <v>3090</v>
      </c>
    </row>
    <row r="25" spans="1:29" x14ac:dyDescent="0.25">
      <c r="A25" s="99"/>
      <c r="B25" s="43" t="s">
        <v>36</v>
      </c>
      <c r="C25" s="44">
        <f t="shared" ref="C25:Q25" si="12">C$10*(1-$C$23)</f>
        <v>1.7619682942295498</v>
      </c>
      <c r="D25" s="45">
        <f t="shared" si="12"/>
        <v>2.1143619530754596</v>
      </c>
      <c r="E25" s="45">
        <f t="shared" si="12"/>
        <v>2.7016847178186429</v>
      </c>
      <c r="F25" s="45">
        <f t="shared" si="12"/>
        <v>1.7619682942295498</v>
      </c>
      <c r="G25" s="45">
        <f t="shared" si="12"/>
        <v>1.8794328471781865</v>
      </c>
      <c r="H25" s="45">
        <f t="shared" si="12"/>
        <v>2.4814386810399491</v>
      </c>
      <c r="I25" s="45">
        <f t="shared" si="12"/>
        <v>2.5842201648700063</v>
      </c>
      <c r="J25" s="45">
        <f t="shared" si="12"/>
        <v>2.5254878883956882</v>
      </c>
      <c r="K25" s="45">
        <f t="shared" si="12"/>
        <v>2.5254878883956882</v>
      </c>
      <c r="L25" s="45">
        <f t="shared" si="12"/>
        <v>2.4785020672162332</v>
      </c>
      <c r="M25" s="45">
        <f t="shared" si="12"/>
        <v>3.4769507672796451</v>
      </c>
      <c r="N25" s="45">
        <f t="shared" si="12"/>
        <v>3.5533027266962582</v>
      </c>
      <c r="O25" s="45">
        <f t="shared" si="12"/>
        <v>3.5568266632847179</v>
      </c>
      <c r="P25" s="45">
        <f t="shared" si="12"/>
        <v>5.6382985415345592</v>
      </c>
      <c r="Q25" s="46">
        <f t="shared" si="12"/>
        <v>7.0478731769181993</v>
      </c>
    </row>
    <row r="26" spans="1:29" x14ac:dyDescent="0.25">
      <c r="A26" s="99"/>
      <c r="B26" s="23" t="s">
        <v>18</v>
      </c>
      <c r="C26" s="51">
        <f t="shared" ref="C26:Q26" si="13">C25-C$13</f>
        <v>1.4646082942295497</v>
      </c>
      <c r="D26" s="52">
        <f t="shared" si="13"/>
        <v>1.7798319530754596</v>
      </c>
      <c r="E26" s="52">
        <f t="shared" si="13"/>
        <v>2.1069647178186433</v>
      </c>
      <c r="F26" s="52">
        <f t="shared" ref="F26" si="14">F25-F$13</f>
        <v>1.5389482942295498</v>
      </c>
      <c r="G26" s="52">
        <f t="shared" si="13"/>
        <v>1.6564128471781865</v>
      </c>
      <c r="H26" s="52">
        <f t="shared" si="13"/>
        <v>2.2088586810399491</v>
      </c>
      <c r="I26" s="52">
        <f t="shared" si="13"/>
        <v>2.2868601648700064</v>
      </c>
      <c r="J26" s="52">
        <f t="shared" si="13"/>
        <v>2.2157378883956884</v>
      </c>
      <c r="K26" s="52">
        <f t="shared" si="13"/>
        <v>2.2578638883956881</v>
      </c>
      <c r="L26" s="52">
        <f t="shared" si="13"/>
        <v>2.1315820672162333</v>
      </c>
      <c r="M26" s="52">
        <f t="shared" si="13"/>
        <v>2.9070107672796452</v>
      </c>
      <c r="N26" s="52">
        <f t="shared" si="13"/>
        <v>3.2559427266962584</v>
      </c>
      <c r="O26" s="52">
        <f t="shared" si="13"/>
        <v>3.259466663284718</v>
      </c>
      <c r="P26" s="52">
        <f t="shared" si="13"/>
        <v>5.0931385415345591</v>
      </c>
      <c r="Q26" s="53">
        <f t="shared" si="13"/>
        <v>6.3416431769181996</v>
      </c>
    </row>
    <row r="27" spans="1:29" x14ac:dyDescent="0.25">
      <c r="A27" s="99"/>
      <c r="B27" s="47" t="s">
        <v>16</v>
      </c>
      <c r="C27" s="48">
        <f t="shared" ref="C27:Q27" si="15">IF(C26&gt;0,C$15/C26,"N/A")</f>
        <v>409.6658487897115</v>
      </c>
      <c r="D27" s="49">
        <f t="shared" si="15"/>
        <v>393.29555736452278</v>
      </c>
      <c r="E27" s="49">
        <f t="shared" si="15"/>
        <v>450.88557580762068</v>
      </c>
      <c r="F27" s="49">
        <f t="shared" ref="F27" si="16">IF(F26&gt;0,F$15/F26,"N/A")</f>
        <v>324.89720536732983</v>
      </c>
      <c r="G27" s="49">
        <f t="shared" si="15"/>
        <v>482.9713808141824</v>
      </c>
      <c r="H27" s="49">
        <f t="shared" si="15"/>
        <v>430.08636458025103</v>
      </c>
      <c r="I27" s="49">
        <f t="shared" si="15"/>
        <v>437.28078146695242</v>
      </c>
      <c r="J27" s="49">
        <f t="shared" si="15"/>
        <v>451.31692030777748</v>
      </c>
      <c r="K27" s="49">
        <f t="shared" si="15"/>
        <v>442.89649395586201</v>
      </c>
      <c r="L27" s="49">
        <f t="shared" si="15"/>
        <v>469.13511582782394</v>
      </c>
      <c r="M27" s="49">
        <f t="shared" si="15"/>
        <v>412.79516866838071</v>
      </c>
      <c r="N27" s="49">
        <f t="shared" si="15"/>
        <v>368.5568514952401</v>
      </c>
      <c r="O27" s="49">
        <f t="shared" si="15"/>
        <v>398.83825616118708</v>
      </c>
      <c r="P27" s="49">
        <f t="shared" si="15"/>
        <v>363.2337869691242</v>
      </c>
      <c r="Q27" s="50">
        <f t="shared" si="15"/>
        <v>437.8991252783664</v>
      </c>
    </row>
    <row r="28" spans="1:29" ht="15.75" thickBot="1" x14ac:dyDescent="0.3">
      <c r="A28" s="99"/>
      <c r="B28" s="54" t="s">
        <v>17</v>
      </c>
      <c r="C28" s="55">
        <f>C26*365/C$15</f>
        <v>0.89097004565630944</v>
      </c>
      <c r="D28" s="56">
        <f>D26*365/D$15</f>
        <v>0.92805523267506118</v>
      </c>
      <c r="E28" s="56">
        <f t="shared" ref="E28:Q28" si="17">E26*365/E15</f>
        <v>0.8095180231618998</v>
      </c>
      <c r="F28" s="56">
        <f t="shared" ref="F28" si="18">F26*365/F15</f>
        <v>1.1234322547875712</v>
      </c>
      <c r="G28" s="56">
        <f t="shared" si="17"/>
        <v>0.75573836152504759</v>
      </c>
      <c r="H28" s="56">
        <f t="shared" si="17"/>
        <v>0.84866675639955946</v>
      </c>
      <c r="I28" s="56">
        <f t="shared" si="17"/>
        <v>0.83470396017755233</v>
      </c>
      <c r="J28" s="56">
        <f t="shared" si="17"/>
        <v>0.8087443292644263</v>
      </c>
      <c r="K28" s="56">
        <f t="shared" si="17"/>
        <v>0.82412031926442619</v>
      </c>
      <c r="L28" s="56">
        <f t="shared" si="17"/>
        <v>0.77802745453392519</v>
      </c>
      <c r="M28" s="56">
        <f t="shared" si="17"/>
        <v>0.88421577504755877</v>
      </c>
      <c r="N28" s="56">
        <f t="shared" si="17"/>
        <v>0.99034924603677854</v>
      </c>
      <c r="O28" s="56">
        <f t="shared" si="17"/>
        <v>0.91515794776840165</v>
      </c>
      <c r="P28" s="56">
        <f t="shared" si="17"/>
        <v>1.0048624690054671</v>
      </c>
      <c r="Q28" s="57">
        <f t="shared" si="17"/>
        <v>0.83352530053120011</v>
      </c>
    </row>
    <row r="29" spans="1:29" ht="108.75" customHeight="1" thickBot="1" x14ac:dyDescent="0.3">
      <c r="A29" s="100"/>
      <c r="B29" s="101" t="s">
        <v>40</v>
      </c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3"/>
    </row>
    <row r="30" spans="1:29" ht="15.75" thickBot="1" x14ac:dyDescent="0.3"/>
    <row r="31" spans="1:29" ht="15.75" thickBot="1" x14ac:dyDescent="0.3">
      <c r="A31" s="98" t="s">
        <v>20</v>
      </c>
      <c r="B31" s="6" t="s">
        <v>34</v>
      </c>
      <c r="C31" s="61">
        <f>1-83/1405</f>
        <v>0.94092526690391454</v>
      </c>
    </row>
    <row r="32" spans="1:29" ht="15.75" customHeight="1" thickBot="1" x14ac:dyDescent="0.3">
      <c r="A32" s="99"/>
      <c r="B32" s="3" t="s">
        <v>0</v>
      </c>
      <c r="C32" s="24">
        <f>C$9</f>
        <v>1070</v>
      </c>
      <c r="D32" s="25">
        <f t="shared" ref="D32:Q32" si="19">D$9</f>
        <v>1080</v>
      </c>
      <c r="E32" s="25" t="str">
        <f t="shared" si="19"/>
        <v>1080 Ti</v>
      </c>
      <c r="F32" s="25" t="str">
        <f t="shared" si="19"/>
        <v>1660s</v>
      </c>
      <c r="G32" s="25">
        <f t="shared" si="19"/>
        <v>2060</v>
      </c>
      <c r="H32" s="25" t="str">
        <f t="shared" si="19"/>
        <v>2060s</v>
      </c>
      <c r="I32" s="25">
        <f t="shared" si="19"/>
        <v>2070</v>
      </c>
      <c r="J32" s="25" t="str">
        <f t="shared" si="19"/>
        <v>2070s</v>
      </c>
      <c r="K32" s="25">
        <f t="shared" si="19"/>
        <v>2080</v>
      </c>
      <c r="L32" s="25" t="str">
        <f t="shared" si="19"/>
        <v>2080s</v>
      </c>
      <c r="M32" s="25" t="str">
        <f t="shared" si="19"/>
        <v>2080Ti</v>
      </c>
      <c r="N32" s="25" t="str">
        <f t="shared" si="19"/>
        <v>3060 Ti</v>
      </c>
      <c r="O32" s="25">
        <f t="shared" si="19"/>
        <v>3070</v>
      </c>
      <c r="P32" s="25">
        <f t="shared" si="19"/>
        <v>3080</v>
      </c>
      <c r="Q32" s="26">
        <f t="shared" si="19"/>
        <v>3090</v>
      </c>
    </row>
    <row r="33" spans="1:17" x14ac:dyDescent="0.25">
      <c r="A33" s="99"/>
      <c r="B33" s="43" t="s">
        <v>36</v>
      </c>
      <c r="C33" s="44">
        <f t="shared" ref="C33:Q33" si="20">C$10*(1-$C$31)</f>
        <v>0.10667120824124378</v>
      </c>
      <c r="D33" s="45">
        <f t="shared" si="20"/>
        <v>0.12800544988949256</v>
      </c>
      <c r="E33" s="45">
        <f t="shared" si="20"/>
        <v>0.16356251930324048</v>
      </c>
      <c r="F33" s="45">
        <f t="shared" si="20"/>
        <v>0.10667120824124378</v>
      </c>
      <c r="G33" s="45">
        <f t="shared" si="20"/>
        <v>0.11378262212399337</v>
      </c>
      <c r="H33" s="45">
        <f t="shared" si="20"/>
        <v>0.15022861827308501</v>
      </c>
      <c r="I33" s="45">
        <f t="shared" si="20"/>
        <v>0.1564511054204909</v>
      </c>
      <c r="J33" s="45">
        <f t="shared" si="20"/>
        <v>0.1528953984791161</v>
      </c>
      <c r="K33" s="45">
        <f t="shared" si="20"/>
        <v>0.1528953984791161</v>
      </c>
      <c r="L33" s="45">
        <f t="shared" si="20"/>
        <v>0.15005083292601626</v>
      </c>
      <c r="M33" s="45">
        <f t="shared" si="20"/>
        <v>0.21049785092938775</v>
      </c>
      <c r="N33" s="45">
        <f t="shared" si="20"/>
        <v>0.21512026995317493</v>
      </c>
      <c r="O33" s="45">
        <f t="shared" si="20"/>
        <v>0.21533361236965745</v>
      </c>
      <c r="P33" s="45">
        <f t="shared" si="20"/>
        <v>0.34134786637198011</v>
      </c>
      <c r="Q33" s="46">
        <f t="shared" si="20"/>
        <v>0.42668483296497511</v>
      </c>
    </row>
    <row r="34" spans="1:17" x14ac:dyDescent="0.25">
      <c r="A34" s="99"/>
      <c r="B34" s="23" t="s">
        <v>18</v>
      </c>
      <c r="C34" s="51">
        <f t="shared" ref="C34:Q34" si="21">C33-C$13</f>
        <v>-0.19068879175875619</v>
      </c>
      <c r="D34" s="52">
        <f t="shared" si="21"/>
        <v>-0.20652455011050749</v>
      </c>
      <c r="E34" s="52">
        <f t="shared" si="21"/>
        <v>-0.43115748069675941</v>
      </c>
      <c r="F34" s="52">
        <f t="shared" ref="F34" si="22">F33-F$13</f>
        <v>-0.11634879175875622</v>
      </c>
      <c r="G34" s="52">
        <f t="shared" si="21"/>
        <v>-0.10923737787600662</v>
      </c>
      <c r="H34" s="52">
        <f t="shared" si="21"/>
        <v>-0.12235138172691498</v>
      </c>
      <c r="I34" s="52">
        <f t="shared" si="21"/>
        <v>-0.14090889457950906</v>
      </c>
      <c r="J34" s="52">
        <f t="shared" si="21"/>
        <v>-0.15685460152088387</v>
      </c>
      <c r="K34" s="52">
        <f t="shared" si="21"/>
        <v>-0.11472860152088388</v>
      </c>
      <c r="L34" s="52">
        <f t="shared" si="21"/>
        <v>-0.19686916707398369</v>
      </c>
      <c r="M34" s="52">
        <f t="shared" si="21"/>
        <v>-0.35944214907061212</v>
      </c>
      <c r="N34" s="52">
        <f t="shared" si="21"/>
        <v>-8.2239730046825027E-2</v>
      </c>
      <c r="O34" s="52">
        <f t="shared" si="21"/>
        <v>-8.2026387630342507E-2</v>
      </c>
      <c r="P34" s="52">
        <f t="shared" si="21"/>
        <v>-0.20381213362801986</v>
      </c>
      <c r="Q34" s="53">
        <f t="shared" si="21"/>
        <v>-0.2795451670350248</v>
      </c>
    </row>
    <row r="35" spans="1:17" x14ac:dyDescent="0.25">
      <c r="A35" s="99"/>
      <c r="B35" s="47" t="s">
        <v>16</v>
      </c>
      <c r="C35" s="48" t="str">
        <f t="shared" ref="C35:Q35" si="23">IF(C34&gt;0,C$15/C34,"N/A")</f>
        <v>N/A</v>
      </c>
      <c r="D35" s="49" t="str">
        <f t="shared" si="23"/>
        <v>N/A</v>
      </c>
      <c r="E35" s="49" t="str">
        <f t="shared" si="23"/>
        <v>N/A</v>
      </c>
      <c r="F35" s="49" t="str">
        <f t="shared" ref="F35" si="24">IF(F34&gt;0,F$15/F34,"N/A")</f>
        <v>N/A</v>
      </c>
      <c r="G35" s="49" t="str">
        <f t="shared" si="23"/>
        <v>N/A</v>
      </c>
      <c r="H35" s="49" t="str">
        <f t="shared" si="23"/>
        <v>N/A</v>
      </c>
      <c r="I35" s="49" t="str">
        <f t="shared" si="23"/>
        <v>N/A</v>
      </c>
      <c r="J35" s="49" t="str">
        <f t="shared" si="23"/>
        <v>N/A</v>
      </c>
      <c r="K35" s="49" t="str">
        <f t="shared" si="23"/>
        <v>N/A</v>
      </c>
      <c r="L35" s="49" t="str">
        <f t="shared" si="23"/>
        <v>N/A</v>
      </c>
      <c r="M35" s="49" t="str">
        <f t="shared" si="23"/>
        <v>N/A</v>
      </c>
      <c r="N35" s="49" t="str">
        <f t="shared" si="23"/>
        <v>N/A</v>
      </c>
      <c r="O35" s="49" t="str">
        <f t="shared" si="23"/>
        <v>N/A</v>
      </c>
      <c r="P35" s="49" t="str">
        <f t="shared" si="23"/>
        <v>N/A</v>
      </c>
      <c r="Q35" s="50" t="str">
        <f t="shared" si="23"/>
        <v>N/A</v>
      </c>
    </row>
    <row r="36" spans="1:17" ht="15.75" thickBot="1" x14ac:dyDescent="0.3">
      <c r="A36" s="99"/>
      <c r="B36" s="54" t="s">
        <v>17</v>
      </c>
      <c r="C36" s="55">
        <f t="shared" ref="C36:Q36" si="25">C34*365/C$15</f>
        <v>-0.11600234831991002</v>
      </c>
      <c r="D36" s="56">
        <f t="shared" si="25"/>
        <v>-0.10768780112905034</v>
      </c>
      <c r="E36" s="56">
        <f t="shared" si="25"/>
        <v>-0.16565524258349176</v>
      </c>
      <c r="F36" s="56">
        <f t="shared" ref="F36" si="26">F34*365/F$15</f>
        <v>-8.4934617983892041E-2</v>
      </c>
      <c r="G36" s="56">
        <f t="shared" si="25"/>
        <v>-4.9839553655928022E-2</v>
      </c>
      <c r="H36" s="56">
        <f t="shared" si="25"/>
        <v>-4.7008688768762075E-2</v>
      </c>
      <c r="I36" s="56">
        <f t="shared" si="25"/>
        <v>-5.1431746521520806E-2</v>
      </c>
      <c r="J36" s="56">
        <f t="shared" si="25"/>
        <v>-5.7251929555122615E-2</v>
      </c>
      <c r="K36" s="56">
        <f t="shared" si="25"/>
        <v>-4.1875939555122615E-2</v>
      </c>
      <c r="L36" s="56">
        <f t="shared" si="25"/>
        <v>-7.1857245982004048E-2</v>
      </c>
      <c r="M36" s="56">
        <f t="shared" si="25"/>
        <v>-0.10933032034231119</v>
      </c>
      <c r="N36" s="56">
        <f t="shared" si="25"/>
        <v>-2.5014584555909276E-2</v>
      </c>
      <c r="O36" s="56">
        <f t="shared" si="25"/>
        <v>-2.3030485757750012E-2</v>
      </c>
      <c r="P36" s="56">
        <f t="shared" si="25"/>
        <v>-4.0211583121203917E-2</v>
      </c>
      <c r="Q36" s="57">
        <f t="shared" si="25"/>
        <v>-3.6742522854801604E-2</v>
      </c>
    </row>
    <row r="37" spans="1:17" ht="80.25" customHeight="1" thickBot="1" x14ac:dyDescent="0.3">
      <c r="A37" s="100"/>
      <c r="B37" s="101" t="s">
        <v>50</v>
      </c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3"/>
    </row>
    <row r="38" spans="1:17" ht="15.75" thickBot="1" x14ac:dyDescent="0.3"/>
    <row r="39" spans="1:17" ht="15.75" thickBot="1" x14ac:dyDescent="0.3">
      <c r="A39" s="98" t="s">
        <v>35</v>
      </c>
      <c r="B39" s="6" t="s">
        <v>34</v>
      </c>
      <c r="C39" s="61">
        <f>1-485/1405</f>
        <v>0.65480427046263345</v>
      </c>
    </row>
    <row r="40" spans="1:17" ht="15.75" thickBot="1" x14ac:dyDescent="0.3">
      <c r="A40" s="99"/>
      <c r="B40" s="3" t="s">
        <v>0</v>
      </c>
      <c r="C40" s="24">
        <f>C$9</f>
        <v>1070</v>
      </c>
      <c r="D40" s="25">
        <f t="shared" ref="D40:Q40" si="27">D$9</f>
        <v>1080</v>
      </c>
      <c r="E40" s="25" t="str">
        <f t="shared" si="27"/>
        <v>1080 Ti</v>
      </c>
      <c r="F40" s="25" t="str">
        <f t="shared" si="27"/>
        <v>1660s</v>
      </c>
      <c r="G40" s="25">
        <f t="shared" si="27"/>
        <v>2060</v>
      </c>
      <c r="H40" s="25" t="str">
        <f t="shared" si="27"/>
        <v>2060s</v>
      </c>
      <c r="I40" s="25">
        <f t="shared" si="27"/>
        <v>2070</v>
      </c>
      <c r="J40" s="25" t="str">
        <f t="shared" si="27"/>
        <v>2070s</v>
      </c>
      <c r="K40" s="25">
        <f t="shared" si="27"/>
        <v>2080</v>
      </c>
      <c r="L40" s="25" t="str">
        <f t="shared" si="27"/>
        <v>2080s</v>
      </c>
      <c r="M40" s="25" t="str">
        <f t="shared" si="27"/>
        <v>2080Ti</v>
      </c>
      <c r="N40" s="25" t="str">
        <f t="shared" si="27"/>
        <v>3060 Ti</v>
      </c>
      <c r="O40" s="25">
        <f t="shared" si="27"/>
        <v>3070</v>
      </c>
      <c r="P40" s="25">
        <f t="shared" si="27"/>
        <v>3080</v>
      </c>
      <c r="Q40" s="26">
        <f t="shared" si="27"/>
        <v>3090</v>
      </c>
    </row>
    <row r="41" spans="1:17" x14ac:dyDescent="0.25">
      <c r="A41" s="99"/>
      <c r="B41" s="43" t="s">
        <v>36</v>
      </c>
      <c r="C41" s="44">
        <f t="shared" ref="C41:Q41" si="28">C$10*(1-$C$39)</f>
        <v>0.62331971080726734</v>
      </c>
      <c r="D41" s="45">
        <f t="shared" si="28"/>
        <v>0.74798365296872082</v>
      </c>
      <c r="E41" s="45">
        <f t="shared" si="28"/>
        <v>0.95575688990447649</v>
      </c>
      <c r="F41" s="45">
        <f t="shared" si="28"/>
        <v>0.62331971080726734</v>
      </c>
      <c r="G41" s="45">
        <f t="shared" si="28"/>
        <v>0.66487435819441842</v>
      </c>
      <c r="H41" s="45">
        <f t="shared" si="28"/>
        <v>0.87784192605356814</v>
      </c>
      <c r="I41" s="45">
        <f t="shared" si="28"/>
        <v>0.9142022425173254</v>
      </c>
      <c r="J41" s="45">
        <f t="shared" si="28"/>
        <v>0.89342491882374986</v>
      </c>
      <c r="K41" s="45">
        <f t="shared" si="28"/>
        <v>0.89342491882374986</v>
      </c>
      <c r="L41" s="45">
        <f t="shared" si="28"/>
        <v>0.8768030598688894</v>
      </c>
      <c r="M41" s="45">
        <f t="shared" si="28"/>
        <v>1.2300175626596743</v>
      </c>
      <c r="N41" s="45">
        <f t="shared" si="28"/>
        <v>1.2570280834613223</v>
      </c>
      <c r="O41" s="45">
        <f t="shared" si="28"/>
        <v>1.258274722882937</v>
      </c>
      <c r="P41" s="45">
        <f t="shared" si="28"/>
        <v>1.9946230745832556</v>
      </c>
      <c r="Q41" s="46">
        <f t="shared" si="28"/>
        <v>2.4932788432290693</v>
      </c>
    </row>
    <row r="42" spans="1:17" x14ac:dyDescent="0.25">
      <c r="A42" s="99"/>
      <c r="B42" s="23" t="s">
        <v>18</v>
      </c>
      <c r="C42" s="51">
        <f>C41-C$13</f>
        <v>0.32595971080726738</v>
      </c>
      <c r="D42" s="52">
        <f>D41-D$13</f>
        <v>0.41345365296872078</v>
      </c>
      <c r="E42" s="52">
        <f t="shared" ref="E42:F42" si="29">E41-E$13</f>
        <v>0.36103688990447658</v>
      </c>
      <c r="F42" s="52">
        <f t="shared" si="29"/>
        <v>0.40029971080726734</v>
      </c>
      <c r="G42" s="52">
        <f t="shared" ref="G42" si="30">G41-G$13</f>
        <v>0.44185435819441843</v>
      </c>
      <c r="H42" s="52">
        <f t="shared" ref="H42" si="31">H41-H$13</f>
        <v>0.6052619260535681</v>
      </c>
      <c r="I42" s="52">
        <f t="shared" ref="I42" si="32">I41-I$13</f>
        <v>0.61684224251732545</v>
      </c>
      <c r="J42" s="52">
        <f t="shared" ref="J42" si="33">J41-J$13</f>
        <v>0.58367491882374989</v>
      </c>
      <c r="K42" s="52">
        <f t="shared" ref="K42" si="34">K41-K$13</f>
        <v>0.62580091882374989</v>
      </c>
      <c r="L42" s="52">
        <f t="shared" ref="L42" si="35">L41-L$13</f>
        <v>0.52988305986888951</v>
      </c>
      <c r="M42" s="52">
        <f t="shared" ref="M42" si="36">M41-M$13</f>
        <v>0.66007756265967443</v>
      </c>
      <c r="N42" s="52">
        <f t="shared" ref="N42" si="37">N41-N$13</f>
        <v>0.95966808346132237</v>
      </c>
      <c r="O42" s="52">
        <f t="shared" ref="O42" si="38">O41-O$13</f>
        <v>0.960914722882937</v>
      </c>
      <c r="P42" s="52">
        <f t="shared" ref="P42" si="39">P41-P$13</f>
        <v>1.4494630745832557</v>
      </c>
      <c r="Q42" s="53">
        <f>Q41-Q$13</f>
        <v>1.7870488432290694</v>
      </c>
    </row>
    <row r="43" spans="1:17" x14ac:dyDescent="0.25">
      <c r="A43" s="99"/>
      <c r="B43" s="47" t="s">
        <v>16</v>
      </c>
      <c r="C43" s="48">
        <f>IF(C42&gt;0,C$15/C42,"N/A")</f>
        <v>1840.718285441008</v>
      </c>
      <c r="D43" s="49">
        <f>IF(D42&gt;0,D$15/D42,"N/A")</f>
        <v>1693.0555455824149</v>
      </c>
      <c r="E43" s="49">
        <f t="shared" ref="E43:F43" si="40">IF(E42&gt;0,E$15/E42,"N/A")</f>
        <v>2631.3100587902577</v>
      </c>
      <c r="F43" s="49">
        <f t="shared" si="40"/>
        <v>1249.0641049719254</v>
      </c>
      <c r="G43" s="49">
        <f t="shared" ref="G43" si="41">IF(G42&gt;0,G$15/G42,"N/A")</f>
        <v>1810.5513392899375</v>
      </c>
      <c r="H43" s="49">
        <f t="shared" ref="H43" si="42">IF(H42&gt;0,H$15/H42,"N/A")</f>
        <v>1569.5684118018044</v>
      </c>
      <c r="I43" s="49">
        <f t="shared" ref="I43" si="43">IF(I42&gt;0,I$15/I42,"N/A")</f>
        <v>1621.1600488303338</v>
      </c>
      <c r="J43" s="49">
        <f t="shared" ref="J43" si="44">IF(J42&gt;0,J$15/J42,"N/A")</f>
        <v>1713.2824586933573</v>
      </c>
      <c r="K43" s="49">
        <f t="shared" ref="K43" si="45">IF(K42&gt;0,K$15/K42,"N/A")</f>
        <v>1597.952271913553</v>
      </c>
      <c r="L43" s="49">
        <f t="shared" ref="L43" si="46">IF(L42&gt;0,L$15/L42,"N/A")</f>
        <v>1887.2088499063036</v>
      </c>
      <c r="M43" s="49">
        <f t="shared" ref="M43" si="47">IF(M42&gt;0,M$15/M42,"N/A")</f>
        <v>1817.9681720505641</v>
      </c>
      <c r="N43" s="49">
        <f t="shared" ref="N43" si="48">IF(N42&gt;0,N$15/N42,"N/A")</f>
        <v>1250.4323324704626</v>
      </c>
      <c r="O43" s="49">
        <f t="shared" ref="O43" si="49">IF(O42&gt;0,O$15/O42,"N/A")</f>
        <v>1352.8775957347589</v>
      </c>
      <c r="P43" s="49">
        <f t="shared" ref="P43" si="50">IF(P42&gt;0,P$15/P42,"N/A")</f>
        <v>1276.3346872647344</v>
      </c>
      <c r="Q43" s="50">
        <f>IF(Q42&gt;0,Q$15/Q42,"N/A")</f>
        <v>1553.9586455746557</v>
      </c>
    </row>
    <row r="44" spans="1:17" ht="15.75" thickBot="1" x14ac:dyDescent="0.3">
      <c r="A44" s="99"/>
      <c r="B44" s="54" t="s">
        <v>17</v>
      </c>
      <c r="C44" s="13">
        <f t="shared" ref="C44:Q44" si="51">C42*365/C$15</f>
        <v>0.19829215740775433</v>
      </c>
      <c r="D44" s="14">
        <f t="shared" si="51"/>
        <v>0.21558654761940441</v>
      </c>
      <c r="E44" s="14">
        <f>E42*365/E$15</f>
        <v>0.13871417348961471</v>
      </c>
      <c r="F44" s="14">
        <f>F42*365/F$15</f>
        <v>0.29221878888930514</v>
      </c>
      <c r="G44" s="14">
        <f t="shared" si="51"/>
        <v>0.20159605092620342</v>
      </c>
      <c r="H44" s="14">
        <f t="shared" si="51"/>
        <v>0.23254800316794985</v>
      </c>
      <c r="I44" s="14">
        <f t="shared" si="51"/>
        <v>0.22514741851882381</v>
      </c>
      <c r="J44" s="14">
        <f t="shared" si="51"/>
        <v>0.21304134537066871</v>
      </c>
      <c r="K44" s="14">
        <f t="shared" si="51"/>
        <v>0.22841733537066869</v>
      </c>
      <c r="L44" s="14">
        <f t="shared" si="51"/>
        <v>0.19340731685214468</v>
      </c>
      <c r="M44" s="14">
        <f t="shared" si="51"/>
        <v>0.20077359197565098</v>
      </c>
      <c r="N44" s="14">
        <f t="shared" si="51"/>
        <v>0.29189904205281886</v>
      </c>
      <c r="O44" s="14">
        <f t="shared" si="51"/>
        <v>0.26979528757867077</v>
      </c>
      <c r="P44" s="14">
        <f t="shared" si="51"/>
        <v>0.28597514714750721</v>
      </c>
      <c r="Q44" s="15">
        <f t="shared" si="51"/>
        <v>0.23488398551624429</v>
      </c>
    </row>
    <row r="45" spans="1:17" ht="74.25" customHeight="1" thickBot="1" x14ac:dyDescent="0.3">
      <c r="A45" s="100"/>
      <c r="B45" s="101" t="s">
        <v>39</v>
      </c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3"/>
    </row>
  </sheetData>
  <mergeCells count="25"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  <mergeCell ref="P6:P7"/>
    <mergeCell ref="N4:Q4"/>
    <mergeCell ref="C4:D4"/>
    <mergeCell ref="A4:B4"/>
    <mergeCell ref="J7:K7"/>
    <mergeCell ref="F6:G6"/>
    <mergeCell ref="J6:K6"/>
    <mergeCell ref="F7:G7"/>
    <mergeCell ref="N6:O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66</v>
      </c>
      <c r="B1" s="95" t="s">
        <v>65</v>
      </c>
      <c r="C1" s="97"/>
      <c r="D1" s="95" t="s">
        <v>64</v>
      </c>
      <c r="E1" s="96"/>
      <c r="F1" s="96"/>
      <c r="G1" s="114" t="s">
        <v>63</v>
      </c>
      <c r="H1" s="115"/>
      <c r="I1" s="79" t="s">
        <v>69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62</v>
      </c>
      <c r="D3" s="69" t="s">
        <v>61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/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67</v>
      </c>
      <c r="B1" s="118" t="s">
        <v>65</v>
      </c>
      <c r="C1" s="119"/>
      <c r="D1" s="118" t="s">
        <v>64</v>
      </c>
      <c r="E1" s="119"/>
      <c r="F1" s="116" t="s">
        <v>63</v>
      </c>
      <c r="G1" s="117"/>
    </row>
    <row r="2" spans="1:10" ht="6" customHeight="1" x14ac:dyDescent="0.25"/>
    <row r="3" spans="1:10" x14ac:dyDescent="0.25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I3" t="s">
        <v>31</v>
      </c>
      <c r="J3" t="s">
        <v>22</v>
      </c>
    </row>
    <row r="4" spans="1:10" x14ac:dyDescent="0.25">
      <c r="A4" t="s">
        <v>27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28</v>
      </c>
      <c r="I4" s="2">
        <f>MAX(C880:C1334)</f>
        <v>1405.21</v>
      </c>
      <c r="J4" s="5">
        <v>43109</v>
      </c>
    </row>
    <row r="5" spans="1:10" x14ac:dyDescent="0.25">
      <c r="A5" t="s">
        <v>27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29</v>
      </c>
      <c r="I5" s="2">
        <f>MIN(C880:C1334)</f>
        <v>83.149241079000006</v>
      </c>
      <c r="J5" s="5">
        <v>43449</v>
      </c>
    </row>
    <row r="6" spans="1:10" x14ac:dyDescent="0.25">
      <c r="A6" t="s">
        <v>27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27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30</v>
      </c>
      <c r="J7" t="s">
        <v>32</v>
      </c>
    </row>
    <row r="8" spans="1:10" x14ac:dyDescent="0.25">
      <c r="A8" t="s">
        <v>27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27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27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27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27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27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27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27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27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27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27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27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27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27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27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27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27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27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27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27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27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27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27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27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27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27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27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27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27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27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27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27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27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27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27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27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27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27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27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27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27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27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27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27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27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27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27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27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27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27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27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27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27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27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27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27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27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27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27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27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27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27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27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27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27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27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27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27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27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27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27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27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27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27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27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27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27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27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27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27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27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27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27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27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27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27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27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27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27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27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27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27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27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27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27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27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27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27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27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27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27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27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27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27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27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27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27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27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27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27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27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27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27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27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27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27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27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27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27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27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27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27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27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27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27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27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27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27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27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27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27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27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27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27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27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27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27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27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27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27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27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27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27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27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27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27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27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27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27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27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27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27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27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27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27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27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27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27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27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27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27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27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27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27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27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27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27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27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27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27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27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27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27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27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27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27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27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27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27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27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27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27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27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27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27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27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27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27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27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27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27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27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27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27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27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27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27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27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27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27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27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27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27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27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27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27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27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27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27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27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27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27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27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27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27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27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27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27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27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27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27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27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27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27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27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27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27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27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27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27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27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27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27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27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27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27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27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27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27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27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27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27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27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27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27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27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27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27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27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27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27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27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27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27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27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27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27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27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27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27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27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27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27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27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27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27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27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27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27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27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27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27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27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27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27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27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27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27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27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27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27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27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27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27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27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27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27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27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27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27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27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27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27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27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27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27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27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27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27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27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27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27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27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27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27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27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27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27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27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27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27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27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27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27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27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27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27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27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27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27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27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27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27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27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27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27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27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27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27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27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27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27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27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27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27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27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27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27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27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27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27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27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27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27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27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27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27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27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27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27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27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27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27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27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27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27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27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27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27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27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27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27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27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27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27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27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27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27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27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27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27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27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27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27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27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27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27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27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27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27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27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27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27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27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27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27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27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27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27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27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27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27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27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27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27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27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27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27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27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27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27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27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27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27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27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27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27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27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27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27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27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27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27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27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27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27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27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27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27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27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27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27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27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27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27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27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27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27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27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27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27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27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27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27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27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27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27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27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27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27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27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27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27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27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27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27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27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27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27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27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27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27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27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27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27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27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27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27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27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27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27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27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27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27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27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27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27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27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27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27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27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27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27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27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27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27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27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27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27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27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27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27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27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27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27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27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27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27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27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27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27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27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27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27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27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27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27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27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27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27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27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27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27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27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27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27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27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27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27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27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27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27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27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27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27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27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27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27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27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27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27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27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27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27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27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27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27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27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27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27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27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27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27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27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27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27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27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27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27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27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27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27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27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27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27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27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27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27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27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27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27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27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27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27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27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27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27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27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27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27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27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27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27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27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27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27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27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27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27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27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27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27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27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27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27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27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27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27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27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27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27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27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27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27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27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27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27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27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27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27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27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27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27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27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27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27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27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27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27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27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27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27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27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27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27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27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27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27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27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27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27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27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27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27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27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27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27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27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27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27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27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27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27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27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27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27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27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27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27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27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27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27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27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27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27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27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27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27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27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27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27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27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27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27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27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27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27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27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27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27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27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27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27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27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27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27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27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27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27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27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27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27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27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27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27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27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27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27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27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27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27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27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27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27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27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27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27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27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27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27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27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27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27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27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27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27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27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27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27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27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27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27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27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27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27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27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27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27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27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27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27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27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27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27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27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27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27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27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27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27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27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27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27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27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27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27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27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27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27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27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27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27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27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27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27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27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27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27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27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27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27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27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27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27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27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27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27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27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27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27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27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27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27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27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27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27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27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27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27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27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27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27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27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27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27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27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27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27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27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27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27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27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27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27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27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27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27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27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27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27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27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27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27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27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27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27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27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27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27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27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27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27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27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27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27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27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27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27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27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27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27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27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27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27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27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27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27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27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27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27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27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27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27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27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27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27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27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27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27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27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27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27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27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27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27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27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27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27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27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27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27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27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27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27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27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27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27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27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27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27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27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27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27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27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27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27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27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27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27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27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27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27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27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27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27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27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27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27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27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27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27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27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27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27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27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27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27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27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27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27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27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27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27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27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27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27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27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27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27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27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27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27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27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27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27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27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27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27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27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27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27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27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27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27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27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27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27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27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27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27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27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27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27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27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27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27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27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27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27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27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27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27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27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27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27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27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27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27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27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27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27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27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27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27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27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27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27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27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27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27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27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27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27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27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27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27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27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27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27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27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27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27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27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27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27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27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27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27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27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27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27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27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27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27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27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27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27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27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27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27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27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27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27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27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27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27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27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27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27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27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27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27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27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27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27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27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27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27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27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27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27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27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27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27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27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27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27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27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27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27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27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27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27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27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27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27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27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27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27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27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27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27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27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27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27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27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27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27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27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27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27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27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27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27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27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27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27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27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27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27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27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27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27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27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27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27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27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27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27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27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27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27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27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27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27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27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27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27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27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27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27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27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27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27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27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27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27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27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27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27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27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27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27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27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27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27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27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27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27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27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27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27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27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27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27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27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27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27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27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27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27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27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27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27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27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27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27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27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27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27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27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27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27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27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27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27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27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27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27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27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27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27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27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27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27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27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27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27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27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27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27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27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27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27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27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27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27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27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27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27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27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27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27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27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27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27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27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27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27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27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27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27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27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27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27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27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27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27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27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27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27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27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27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27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27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27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27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27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27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27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27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27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27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27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27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27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27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27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27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27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27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27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27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27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27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27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27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27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27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27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27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27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27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27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27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27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27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27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27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27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27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27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27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27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27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27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27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27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27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27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27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27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27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27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27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27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27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27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27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27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27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27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27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27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27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27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27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27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27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27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27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27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27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27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27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27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27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27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27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27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27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27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27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27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27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27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27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27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27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27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27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27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27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27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27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27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27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27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27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27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27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27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27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27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27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27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27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27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27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27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27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27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27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27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27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27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27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27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27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27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27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27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27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27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27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27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27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27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27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27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27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27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27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27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27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27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27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27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27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27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27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27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27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27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27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27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27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27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27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27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27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27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27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27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27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27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27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27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27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27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27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27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27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27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27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27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27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27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27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27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27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27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27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27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27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27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27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27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27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27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27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27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27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27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27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27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27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27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27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27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27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27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27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27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27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27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27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27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27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27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27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27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27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27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27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27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27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27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27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27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27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27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27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27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27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27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27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27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27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27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27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27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27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27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27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27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27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27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27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27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27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27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27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27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27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27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27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27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27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27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27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27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27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27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27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27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27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27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27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27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27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27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27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27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27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27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27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27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27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27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27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27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27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27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27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27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27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27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27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27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27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27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27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27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27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27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27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27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27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27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27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27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27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27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27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27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27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27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27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27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27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27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27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27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27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27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27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27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27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27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27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27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27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27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27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27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27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27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27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27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27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27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27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27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27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27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27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27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27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27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27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27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27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27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27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27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27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27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27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27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27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27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27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27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27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27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27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27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27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27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27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27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27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27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27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27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27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27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27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27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27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27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27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27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27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27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27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27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27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27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27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27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27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27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27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27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27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27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27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27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27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27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27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27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27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27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27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27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27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27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27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27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27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27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27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27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27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27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27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27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27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27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27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27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27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27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27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27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27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27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27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27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27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27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27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27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27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27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27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27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27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27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27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27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27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27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27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27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27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27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27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27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27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27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27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27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27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27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27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27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27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27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27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27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27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27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27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27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27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27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27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27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27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27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27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27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27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27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27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27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27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27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27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27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27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27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27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27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27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27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27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27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27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27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27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27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27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27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27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27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27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27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27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27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27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27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27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27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27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27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27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27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27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27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27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27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27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27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27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27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27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27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27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27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27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27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27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27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27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27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27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27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27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27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27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27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27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27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27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27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27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27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27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27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27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27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27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27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27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27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27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27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27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27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27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27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27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27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27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27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27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27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27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27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27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27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27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27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27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27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27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27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27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27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27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27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27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27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27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27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27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27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27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27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27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27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27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27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27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27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27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27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27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27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27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27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27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27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27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27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27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27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27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27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27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27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27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27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27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27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27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27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27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27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27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27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27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27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27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27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27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27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27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27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27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27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27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27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27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27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27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27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27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27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27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27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27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27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27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27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27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27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27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27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27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27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27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27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27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27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27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27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27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27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27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27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27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27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27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27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27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27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27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27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27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27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27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27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27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27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27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27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27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27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27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27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27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27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27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27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27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27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27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27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27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27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27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27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27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27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27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27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27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27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27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27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27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27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27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27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27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27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27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27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27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27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27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27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27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27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27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27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27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27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27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27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27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27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27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27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27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27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27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27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27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27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27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27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27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27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27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27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27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27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27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27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27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27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27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27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27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27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27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27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27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27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27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27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27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27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27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27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27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27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27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27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27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27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27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27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27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27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27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27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27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27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27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27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27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27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27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27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27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27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27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27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27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27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27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27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27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27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27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27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27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27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27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27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27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27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27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27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27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27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27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27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27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27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27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27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27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27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27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27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27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27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27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27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27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27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27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27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27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27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27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27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27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27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27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27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27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27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27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27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27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27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27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27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27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27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27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27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27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27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27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27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27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27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27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27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27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27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27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27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27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27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27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27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27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27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27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27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27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27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27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27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27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27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27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27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27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27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27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27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27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27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27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27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27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27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27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27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27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27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27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27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27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27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27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27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27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27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27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27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27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27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27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27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27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27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27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27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27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27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27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27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27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27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27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27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27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27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27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27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27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27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27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27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27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27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27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27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27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27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27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27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27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27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27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27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27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27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27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27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27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27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27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27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27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27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27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27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27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27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27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27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27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27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27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27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27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27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27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27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27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27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27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27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27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27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27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27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27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27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27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27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27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27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27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27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27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27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27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27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27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27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27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27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27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27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27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27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27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27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27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27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27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27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27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27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27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27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27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27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27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27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27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27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27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27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27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27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27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27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27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27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27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27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27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2021-06-21T03:58:27Z</cp:lastPrinted>
  <dcterms:created xsi:type="dcterms:W3CDTF">2021-03-17T05:33:13Z</dcterms:created>
  <dcterms:modified xsi:type="dcterms:W3CDTF">2021-06-25T23:32:45Z</dcterms:modified>
</cp:coreProperties>
</file>