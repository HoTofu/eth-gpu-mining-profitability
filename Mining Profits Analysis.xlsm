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A12E1CE1-BC4D-42C7-AA01-DD0E62AFC8A8}" xr6:coauthVersionLast="47" xr6:coauthVersionMax="47" xr10:uidLastSave="{00000000-0000-0000-0000-000000000000}"/>
  <bookViews>
    <workbookView xWindow="-120" yWindow="-120" windowWidth="38640" windowHeight="21240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9" l="1"/>
  <c r="C9" i="3"/>
  <c r="L4" i="3"/>
  <c r="F34" i="9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C36" i="9" l="1"/>
  <c r="L5" i="7"/>
  <c r="P4" i="7" s="1"/>
  <c r="C8" i="7" s="1"/>
  <c r="L5" i="3"/>
  <c r="P4" i="3" s="1"/>
  <c r="C8" i="3" s="1"/>
  <c r="J14" i="7"/>
  <c r="K14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D8" i="3" l="1"/>
  <c r="Q8" i="7"/>
  <c r="R8" i="7"/>
  <c r="R34" i="7" s="1"/>
  <c r="R35" i="7" s="1"/>
  <c r="R37" i="7" s="1"/>
  <c r="K8" i="7"/>
  <c r="K12" i="7" s="1"/>
  <c r="K16" i="7" s="1"/>
  <c r="N8" i="7"/>
  <c r="N20" i="7" s="1"/>
  <c r="N21" i="7" s="1"/>
  <c r="N23" i="7" s="1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G20" i="7" s="1"/>
  <c r="G21" i="7" s="1"/>
  <c r="G23" i="7" s="1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R20" i="7"/>
  <c r="R21" i="7" s="1"/>
  <c r="R23" i="7" s="1"/>
  <c r="R12" i="7"/>
  <c r="R16" i="7" s="1"/>
  <c r="K34" i="7"/>
  <c r="K35" i="7" s="1"/>
  <c r="K37" i="7" s="1"/>
  <c r="K27" i="7"/>
  <c r="K28" i="7" s="1"/>
  <c r="K30" i="7" s="1"/>
  <c r="P11" i="3"/>
  <c r="H11" i="3"/>
  <c r="K11" i="3"/>
  <c r="N11" i="3"/>
  <c r="J11" i="3"/>
  <c r="M11" i="3"/>
  <c r="E11" i="3"/>
  <c r="C11" i="3"/>
  <c r="O11" i="3"/>
  <c r="I11" i="3"/>
  <c r="G11" i="3"/>
  <c r="R11" i="3"/>
  <c r="F11" i="3"/>
  <c r="L11" i="3"/>
  <c r="N34" i="7" l="1"/>
  <c r="N35" i="7" s="1"/>
  <c r="N37" i="7" s="1"/>
  <c r="N12" i="7"/>
  <c r="N16" i="7" s="1"/>
  <c r="N27" i="7"/>
  <c r="N28" i="7" s="1"/>
  <c r="N30" i="7" s="1"/>
  <c r="K20" i="7"/>
  <c r="K21" i="7" s="1"/>
  <c r="K23" i="7" s="1"/>
  <c r="L12" i="7"/>
  <c r="L16" i="7" s="1"/>
  <c r="L34" i="7"/>
  <c r="L35" i="7" s="1"/>
  <c r="L37" i="7" s="1"/>
  <c r="R27" i="7"/>
  <c r="R28" i="7" s="1"/>
  <c r="R30" i="7" s="1"/>
  <c r="G12" i="3"/>
  <c r="G16" i="3" s="1"/>
  <c r="I34" i="7"/>
  <c r="I35" i="7" s="1"/>
  <c r="I37" i="7" s="1"/>
  <c r="G34" i="7"/>
  <c r="G35" i="7" s="1"/>
  <c r="G37" i="7" s="1"/>
  <c r="G27" i="7"/>
  <c r="G28" i="7" s="1"/>
  <c r="G30" i="7" s="1"/>
  <c r="G12" i="7"/>
  <c r="G16" i="7" s="1"/>
  <c r="Q23" i="3"/>
  <c r="Q24" i="3" s="1"/>
  <c r="L20" i="7"/>
  <c r="L21" i="7" s="1"/>
  <c r="L23" i="7" s="1"/>
  <c r="K12" i="3"/>
  <c r="E23" i="3"/>
  <c r="R23" i="3"/>
  <c r="R24" i="3" s="1"/>
  <c r="R26" i="3" s="1"/>
  <c r="M23" i="3"/>
  <c r="M24" i="3" s="1"/>
  <c r="M25" i="3" s="1"/>
  <c r="K39" i="3"/>
  <c r="K40" i="3" s="1"/>
  <c r="K42" i="3" s="1"/>
  <c r="F23" i="3"/>
  <c r="F24" i="3" s="1"/>
  <c r="F25" i="3" s="1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24" i="3" s="1"/>
  <c r="G26" i="3" s="1"/>
  <c r="G31" i="3"/>
  <c r="O23" i="3"/>
  <c r="O24" i="3" s="1"/>
  <c r="Q31" i="3"/>
  <c r="Q32" i="3" s="1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24" i="3" s="1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M40" i="3" s="1"/>
  <c r="M42" i="3" s="1"/>
  <c r="J39" i="3"/>
  <c r="J40" i="3" s="1"/>
  <c r="N32" i="3"/>
  <c r="N34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C15" i="7"/>
  <c r="N36" i="7"/>
  <c r="P15" i="7"/>
  <c r="N15" i="7"/>
  <c r="I15" i="7"/>
  <c r="Q22" i="7"/>
  <c r="O15" i="7"/>
  <c r="Q36" i="7"/>
  <c r="J22" i="7"/>
  <c r="Q29" i="7"/>
  <c r="K22" i="7"/>
  <c r="K29" i="7"/>
  <c r="M22" i="7"/>
  <c r="E15" i="7"/>
  <c r="L15" i="7"/>
  <c r="C29" i="7"/>
  <c r="R15" i="7"/>
  <c r="R22" i="7"/>
  <c r="F36" i="7"/>
  <c r="N29" i="7"/>
  <c r="K36" i="7"/>
  <c r="C22" i="7"/>
  <c r="N22" i="7"/>
  <c r="L36" i="7"/>
  <c r="K15" i="7"/>
  <c r="D36" i="7"/>
  <c r="G22" i="7"/>
  <c r="L29" i="7"/>
  <c r="G32" i="3"/>
  <c r="G40" i="3"/>
  <c r="G42" i="3" s="1"/>
  <c r="R12" i="3"/>
  <c r="R16" i="3" s="1"/>
  <c r="P32" i="3"/>
  <c r="P34" i="3" s="1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L40" i="3"/>
  <c r="F12" i="3"/>
  <c r="O12" i="3"/>
  <c r="O16" i="3" s="1"/>
  <c r="K32" i="3"/>
  <c r="C12" i="3"/>
  <c r="C16" i="3" s="1"/>
  <c r="C40" i="3"/>
  <c r="C42" i="3" s="1"/>
  <c r="E12" i="3"/>
  <c r="E16" i="3" s="1"/>
  <c r="E24" i="3"/>
  <c r="E26" i="3" s="1"/>
  <c r="K16" i="3" l="1"/>
  <c r="K15" i="3"/>
  <c r="G29" i="7"/>
  <c r="I36" i="7"/>
  <c r="R29" i="7"/>
  <c r="G15" i="3"/>
  <c r="G36" i="7"/>
  <c r="G15" i="7"/>
  <c r="L22" i="7"/>
  <c r="D29" i="7"/>
  <c r="D22" i="7"/>
  <c r="E29" i="7"/>
  <c r="M15" i="7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<sst xmlns="http://schemas.openxmlformats.org/spreadsheetml/2006/main" count="2296" uniqueCount="120">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</sst>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0.0"/>
    <numFmt numFmtId="171" formatCode="mmm\ d\,\ 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6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7" fontId="0" fillId="5" borderId="18" xfId="0" applyNumberFormat="1" applyFill="1" applyBorder="1" applyAlignment="1">
      <alignment horizontal="center"/>
    </xf>
    <xf numFmtId="167" fontId="0" fillId="5" borderId="19" xfId="0" applyNumberFormat="1" applyFill="1" applyBorder="1" applyAlignment="1">
      <alignment horizontal="center"/>
    </xf>
    <xf numFmtId="167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7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5" fontId="0" fillId="0" borderId="0" xfId="0" applyNumberFormat="1" applyBorder="1"/>
    <xf numFmtId="0" fontId="0" fillId="0" borderId="0" xfId="0" applyBorder="1"/>
    <xf numFmtId="44" fontId="0" fillId="0" borderId="0" xfId="6" applyFont="1" applyBorder="1"/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  <xf numFmtId="171" fontId="0" fillId="0" borderId="35" xfId="0" applyNumberFormat="1" applyBorder="1" applyAlignment="1">
      <alignment horizontal="center" vertical="center"/>
    </xf>
    <xf numFmtId="171" fontId="0" fillId="0" borderId="36" xfId="0" applyNumberFormat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tabSelected="1" zoomScaleNormal="100" workbookViewId="0">
      <selection activeCell="M5" sqref="M5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64">
        <v>44442</v>
      </c>
      <c r="C2" s="165"/>
    </row>
    <row r="3" spans="1:23" ht="15.75" thickBot="1" x14ac:dyDescent="0.3">
      <c r="D3" s="1"/>
      <c r="H3" s="1"/>
    </row>
    <row r="4" spans="1:23" ht="15.75" thickBot="1" x14ac:dyDescent="0.3">
      <c r="A4" s="133" t="s">
        <v>46</v>
      </c>
      <c r="B4" s="134"/>
      <c r="C4" s="58">
        <v>675.29300000000001</v>
      </c>
      <c r="D4" s="1"/>
      <c r="H4" s="1"/>
    </row>
    <row r="5" spans="1:23" ht="15.75" thickBot="1" x14ac:dyDescent="0.3">
      <c r="A5" s="129" t="s">
        <v>115</v>
      </c>
      <c r="B5" s="130"/>
      <c r="C5" s="57">
        <v>4891.0200000000004</v>
      </c>
    </row>
    <row r="6" spans="1:23" s="6" customFormat="1" ht="15.75" thickBot="1" x14ac:dyDescent="0.3">
      <c r="A6" s="129" t="s">
        <v>111</v>
      </c>
      <c r="B6" s="130"/>
      <c r="C6" s="57">
        <v>14618</v>
      </c>
    </row>
    <row r="7" spans="1:23" s="6" customFormat="1" ht="15.75" thickBot="1" x14ac:dyDescent="0.3">
      <c r="A7" s="131" t="s">
        <v>114</v>
      </c>
      <c r="B7" s="132"/>
      <c r="C7" s="57">
        <v>6541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25"/>
      <c r="V12" s="125">
        <v>2250</v>
      </c>
      <c r="W12" s="65">
        <v>3500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C2" sqref="C2:D2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35" t="s">
        <v>78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</row>
    <row r="2" spans="1:30" s="6" customFormat="1" x14ac:dyDescent="0.25">
      <c r="A2" s="153" t="s">
        <v>44</v>
      </c>
      <c r="B2" s="153"/>
      <c r="C2" s="164">
        <f>'Card Data'!$B$2</f>
        <v>44442</v>
      </c>
      <c r="D2" s="165"/>
      <c r="E2"/>
      <c r="O2" s="152" t="s">
        <v>49</v>
      </c>
      <c r="P2" s="152"/>
      <c r="Q2" s="152"/>
      <c r="R2" s="152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9" t="s">
        <v>32</v>
      </c>
      <c r="B4" s="148" t="s">
        <v>56</v>
      </c>
      <c r="C4" s="149"/>
      <c r="D4" s="59">
        <f>'Electricity Calculations'!$F$5</f>
        <v>10.324999999999999</v>
      </c>
      <c r="E4" s="1"/>
      <c r="F4" s="148" t="s">
        <v>50</v>
      </c>
      <c r="G4" s="149"/>
      <c r="H4" s="57">
        <f>'Card Data'!$C$5</f>
        <v>4891.0200000000004</v>
      </c>
      <c r="I4" s="1"/>
      <c r="J4" s="148" t="s">
        <v>113</v>
      </c>
      <c r="K4" s="149"/>
      <c r="L4" s="57">
        <f>'Card Data'!$C$7</f>
        <v>6541</v>
      </c>
      <c r="N4" s="133" t="s">
        <v>48</v>
      </c>
      <c r="O4" s="134"/>
      <c r="P4" s="150">
        <f>$L$4*$L$5*$H$4/$D$5/10000</f>
        <v>10.587542053597476</v>
      </c>
    </row>
    <row r="5" spans="1:30" s="6" customFormat="1" ht="15.75" thickBot="1" x14ac:dyDescent="0.3">
      <c r="A5" s="140"/>
      <c r="B5" s="148" t="s">
        <v>46</v>
      </c>
      <c r="C5" s="149"/>
      <c r="D5" s="58">
        <f>'Card Data'!$C$4</f>
        <v>675.29300000000001</v>
      </c>
      <c r="E5" s="1"/>
      <c r="F5" s="148" t="s">
        <v>112</v>
      </c>
      <c r="G5" s="149"/>
      <c r="H5" s="57">
        <f>'Card Data'!$C$6</f>
        <v>14618</v>
      </c>
      <c r="I5" s="1"/>
      <c r="J5" s="148" t="s">
        <v>39</v>
      </c>
      <c r="K5" s="149"/>
      <c r="L5" s="59">
        <f>$H$5/$L$4</f>
        <v>2.2348264791316312</v>
      </c>
      <c r="N5" s="154"/>
      <c r="O5" s="155"/>
      <c r="P5" s="151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40"/>
      <c r="V6"/>
      <c r="W6"/>
      <c r="X6"/>
      <c r="Y6"/>
      <c r="Z6"/>
      <c r="AA6"/>
      <c r="AB6"/>
      <c r="AC6"/>
      <c r="AD6"/>
    </row>
    <row r="7" spans="1:30" ht="15.75" thickBot="1" x14ac:dyDescent="0.3">
      <c r="A7" s="140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40"/>
      <c r="B8" s="26" t="s">
        <v>51</v>
      </c>
      <c r="C8" s="61">
        <f>$P$4*C9/100</f>
        <v>3.1762626160792427</v>
      </c>
      <c r="D8" s="83">
        <f>$P$4*D9/100</f>
        <v>3.3774259150975947</v>
      </c>
      <c r="E8" s="27">
        <f t="shared" ref="E8:R8" si="0">$P$4*E9/100</f>
        <v>3.5997642982231417</v>
      </c>
      <c r="F8" s="27">
        <f t="shared" si="0"/>
        <v>4.8702693446548384</v>
      </c>
      <c r="G8" s="27">
        <f t="shared" si="0"/>
        <v>3.1762626160792427</v>
      </c>
      <c r="H8" s="27">
        <f t="shared" si="0"/>
        <v>3.3880134571511924</v>
      </c>
      <c r="I8" s="27">
        <f t="shared" si="0"/>
        <v>4.473236517644934</v>
      </c>
      <c r="J8" s="27">
        <f t="shared" si="0"/>
        <v>4.6585185035828891</v>
      </c>
      <c r="K8" s="27">
        <f t="shared" si="0"/>
        <v>4.552643083046914</v>
      </c>
      <c r="L8" s="27">
        <f t="shared" si="0"/>
        <v>4.552643083046914</v>
      </c>
      <c r="M8" s="27">
        <f t="shared" si="0"/>
        <v>4.4679427466181352</v>
      </c>
      <c r="N8" s="27">
        <f t="shared" si="0"/>
        <v>6.2678248957297056</v>
      </c>
      <c r="O8" s="27">
        <f t="shared" si="0"/>
        <v>6.4054629424264728</v>
      </c>
      <c r="P8" s="27">
        <f t="shared" si="0"/>
        <v>6.4118154676586308</v>
      </c>
      <c r="Q8" s="27">
        <f t="shared" si="0"/>
        <v>9.8464141098456519</v>
      </c>
      <c r="R8" s="28">
        <f t="shared" si="0"/>
        <v>12.705050464316971</v>
      </c>
      <c r="S8" s="2"/>
    </row>
    <row r="9" spans="1:30" x14ac:dyDescent="0.25">
      <c r="A9" s="140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34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93</v>
      </c>
      <c r="R9" s="80">
        <f>INDEX('Card Data'!$10:$10,MATCH('Nvidia Analysis'!R$7,'Card Data'!$9:$9,0))</f>
        <v>120</v>
      </c>
      <c r="T9" s="2"/>
    </row>
    <row r="10" spans="1:30" x14ac:dyDescent="0.25">
      <c r="A10" s="140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170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40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0.42125999999999997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40"/>
      <c r="B12" s="29" t="s">
        <v>52</v>
      </c>
      <c r="C12" s="33">
        <f t="shared" ref="C12:R12" si="2">C8-C11</f>
        <v>2.8789026160792428</v>
      </c>
      <c r="D12" s="87">
        <f t="shared" ref="D12" si="3">D8-D11</f>
        <v>3.0428959150975947</v>
      </c>
      <c r="E12" s="34">
        <f t="shared" si="2"/>
        <v>3.1785042982231415</v>
      </c>
      <c r="F12" s="34">
        <f t="shared" si="2"/>
        <v>4.2755493446548387</v>
      </c>
      <c r="G12" s="34">
        <f t="shared" ref="G12" si="4">G8-G11</f>
        <v>2.9532426160792427</v>
      </c>
      <c r="H12" s="34">
        <f>H8-H11</f>
        <v>3.1649934571511924</v>
      </c>
      <c r="I12" s="34">
        <f t="shared" si="2"/>
        <v>4.2006565176449344</v>
      </c>
      <c r="J12" s="34">
        <f t="shared" si="2"/>
        <v>4.3611585035828888</v>
      </c>
      <c r="K12" s="34">
        <f t="shared" si="2"/>
        <v>4.2428930830469138</v>
      </c>
      <c r="L12" s="34">
        <f t="shared" si="2"/>
        <v>4.2850190830469144</v>
      </c>
      <c r="M12" s="34">
        <f t="shared" si="2"/>
        <v>4.1210227466181353</v>
      </c>
      <c r="N12" s="34">
        <f t="shared" si="2"/>
        <v>5.6978848957297057</v>
      </c>
      <c r="O12" s="34">
        <f t="shared" si="2"/>
        <v>6.1081029424264726</v>
      </c>
      <c r="P12" s="34">
        <f t="shared" si="2"/>
        <v>6.1144554676586305</v>
      </c>
      <c r="Q12" s="34">
        <f t="shared" si="2"/>
        <v>9.2021341098456517</v>
      </c>
      <c r="R12" s="35">
        <f t="shared" si="2"/>
        <v>11.998820464316971</v>
      </c>
    </row>
    <row r="13" spans="1:30" ht="17.25" x14ac:dyDescent="0.25">
      <c r="A13" s="140"/>
      <c r="B13" s="15" t="s">
        <v>53</v>
      </c>
      <c r="C13" s="19">
        <f>INDEX('Card Data'!$12:$12,MATCH('Nvidia Analysis'!C$7,'Card Data'!$9:$9,0))</f>
        <v>530</v>
      </c>
      <c r="D13" s="88">
        <f>INDEX('Card Data'!$12:$12,MATCH('Nvidia Analysis'!D$7,'Card Data'!$9:$9,0))</f>
        <v>550</v>
      </c>
      <c r="E13" s="20">
        <f>INDEX('Card Data'!$12:$12,MATCH('Nvidia Analysis'!E$7,'Card Data'!$9:$9,0))</f>
        <v>550</v>
      </c>
      <c r="F13" s="20">
        <f>INDEX('Card Data'!$12:$12,MATCH('Nvidia Analysis'!F$7,'Card Data'!$9:$9,0))</f>
        <v>850</v>
      </c>
      <c r="G13" s="20">
        <f>INDEX('Card Data'!$12:$12,MATCH('Nvidia Analysis'!G$7,'Card Data'!$9:$9,0))</f>
        <v>650</v>
      </c>
      <c r="H13" s="20">
        <f>INDEX('Card Data'!$12:$12,MATCH('Nvidia Analysis'!H$7,'Card Data'!$9:$9,0))</f>
        <v>750</v>
      </c>
      <c r="I13" s="20">
        <f>INDEX('Card Data'!$12:$12,MATCH('Nvidia Analysis'!I$7,'Card Data'!$9:$9,0))</f>
        <v>850</v>
      </c>
      <c r="J13" s="20">
        <f>INDEX('Card Data'!$12:$12,MATCH('Nvidia Analysis'!J$7,'Card Data'!$9:$9,0))</f>
        <v>900</v>
      </c>
      <c r="K13" s="20">
        <f>INDEX('Card Data'!$12:$12,MATCH('Nvidia Analysis'!K$7,'Card Data'!$9:$9,0))</f>
        <v>950</v>
      </c>
      <c r="L13" s="20">
        <f>INDEX('Card Data'!$12:$12,MATCH('Nvidia Analysis'!L$7,'Card Data'!$9:$9,0))</f>
        <v>950</v>
      </c>
      <c r="M13" s="20">
        <f>INDEX('Card Data'!$12:$12,MATCH('Nvidia Analysis'!M$7,'Card Data'!$9:$9,0))</f>
        <v>1100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1500</v>
      </c>
      <c r="P13" s="20">
        <f>INDEX('Card Data'!$12:$12,MATCH('Nvidia Analysis'!P$7,'Card Data'!$9:$9,0))</f>
        <v>1750</v>
      </c>
      <c r="Q13" s="20">
        <f>INDEX('Card Data'!$12:$12,MATCH('Nvidia Analysis'!Q$7,'Card Data'!$9:$9,0))</f>
        <v>2350</v>
      </c>
      <c r="R13" s="21">
        <f>INDEX('Card Data'!$12:$12,MATCH('Nvidia Analysis'!R$7,'Card Data'!$9:$9,0))</f>
        <v>3500</v>
      </c>
    </row>
    <row r="14" spans="1:30" x14ac:dyDescent="0.25">
      <c r="A14" s="140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200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357.69230769230768</v>
      </c>
      <c r="R14" s="77">
        <f t="shared" si="5"/>
        <v>421.05263157894734</v>
      </c>
    </row>
    <row r="15" spans="1:30" x14ac:dyDescent="0.25">
      <c r="A15" s="140"/>
      <c r="B15" s="15" t="s">
        <v>54</v>
      </c>
      <c r="C15" s="39">
        <f t="shared" ref="C15:D15" si="6">C13/C12</f>
        <v>184.09792573039627</v>
      </c>
      <c r="D15" s="90">
        <f t="shared" si="6"/>
        <v>180.74887059761946</v>
      </c>
      <c r="E15" s="40">
        <f t="shared" ref="E15:R15" si="7">E13/E12</f>
        <v>173.03736235545219</v>
      </c>
      <c r="F15" s="40">
        <f t="shared" si="7"/>
        <v>198.8048625991521</v>
      </c>
      <c r="G15" s="40">
        <f t="shared" ref="G15" si="8">G13/G12</f>
        <v>220.09705415362967</v>
      </c>
      <c r="H15" s="40">
        <f t="shared" si="7"/>
        <v>236.96731451542217</v>
      </c>
      <c r="I15" s="40">
        <f t="shared" si="7"/>
        <v>202.34932240461924</v>
      </c>
      <c r="J15" s="40">
        <f t="shared" si="7"/>
        <v>206.36718414627887</v>
      </c>
      <c r="K15" s="40">
        <f>K13/K12</f>
        <v>223.9038272719765</v>
      </c>
      <c r="L15" s="40">
        <f t="shared" si="7"/>
        <v>221.70262992726069</v>
      </c>
      <c r="M15" s="40">
        <f t="shared" si="7"/>
        <v>266.92403018224081</v>
      </c>
      <c r="N15" s="40">
        <f t="shared" si="7"/>
        <v>210.60446498302258</v>
      </c>
      <c r="O15" s="40">
        <f t="shared" si="7"/>
        <v>245.57542892427381</v>
      </c>
      <c r="P15" s="40">
        <f t="shared" si="7"/>
        <v>286.20700719079997</v>
      </c>
      <c r="Q15" s="40">
        <f t="shared" si="7"/>
        <v>255.37554353676083</v>
      </c>
      <c r="R15" s="41">
        <f t="shared" si="7"/>
        <v>291.69533875505289</v>
      </c>
    </row>
    <row r="16" spans="1:30" ht="18" thickBot="1" x14ac:dyDescent="0.3">
      <c r="A16" s="140"/>
      <c r="B16" s="8" t="s">
        <v>40</v>
      </c>
      <c r="C16" s="36">
        <f>IFERROR(C12*365/C13,"N/A")</f>
        <v>1.9826404808847617</v>
      </c>
      <c r="D16" s="91">
        <f t="shared" ref="D16:R16" si="9">IFERROR(D12*365/D13,"N/A")</f>
        <v>2.0193763800193127</v>
      </c>
      <c r="E16" s="37">
        <f t="shared" si="9"/>
        <v>2.1093710342753575</v>
      </c>
      <c r="F16" s="37">
        <f t="shared" si="9"/>
        <v>1.8359711891753132</v>
      </c>
      <c r="G16" s="37">
        <f t="shared" si="9"/>
        <v>1.6583593151829592</v>
      </c>
      <c r="H16" s="37">
        <f t="shared" si="9"/>
        <v>1.5402968158135804</v>
      </c>
      <c r="I16" s="37">
        <f t="shared" si="9"/>
        <v>1.8038113281651775</v>
      </c>
      <c r="J16" s="37">
        <f t="shared" si="9"/>
        <v>1.7686920597863938</v>
      </c>
      <c r="K16" s="37">
        <f t="shared" si="9"/>
        <v>1.6301641845390773</v>
      </c>
      <c r="L16" s="37">
        <f t="shared" si="9"/>
        <v>1.6463494371706566</v>
      </c>
      <c r="M16" s="37">
        <f t="shared" si="9"/>
        <v>1.3674302750141993</v>
      </c>
      <c r="N16" s="37">
        <f t="shared" si="9"/>
        <v>1.7331066557844519</v>
      </c>
      <c r="O16" s="37">
        <f t="shared" si="9"/>
        <v>1.4863050493237748</v>
      </c>
      <c r="P16" s="37">
        <f t="shared" si="9"/>
        <v>1.275300711825943</v>
      </c>
      <c r="Q16" s="37">
        <f t="shared" si="9"/>
        <v>1.429267638337729</v>
      </c>
      <c r="R16" s="38">
        <f t="shared" si="9"/>
        <v>1.2513055627073411</v>
      </c>
    </row>
    <row r="17" spans="1:30" s="6" customFormat="1" x14ac:dyDescent="0.25">
      <c r="A17" s="140"/>
      <c r="B17" s="136" t="s">
        <v>41</v>
      </c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8"/>
      <c r="V17"/>
      <c r="W17"/>
      <c r="X17"/>
      <c r="Y17"/>
      <c r="Z17"/>
      <c r="AA17"/>
      <c r="AB17"/>
      <c r="AC17"/>
      <c r="AD17"/>
    </row>
    <row r="18" spans="1:30" ht="15.75" x14ac:dyDescent="0.25">
      <c r="A18" s="140"/>
      <c r="B18" s="142" t="s">
        <v>43</v>
      </c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4"/>
    </row>
    <row r="19" spans="1:30" ht="16.5" thickBot="1" x14ac:dyDescent="0.3">
      <c r="A19" s="141"/>
      <c r="B19" s="145" t="s">
        <v>42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7"/>
    </row>
    <row r="20" spans="1:30" ht="15.75" thickBot="1" x14ac:dyDescent="0.3"/>
    <row r="21" spans="1:30" ht="15.75" thickBot="1" x14ac:dyDescent="0.3">
      <c r="A21" s="139" t="s">
        <v>18</v>
      </c>
      <c r="B21" s="108" t="s">
        <v>33</v>
      </c>
      <c r="C21" s="60">
        <f>1-2/$L$5</f>
        <v>0.10507593378027091</v>
      </c>
      <c r="D21" s="92"/>
    </row>
    <row r="22" spans="1:30" ht="15.75" customHeight="1" thickBot="1" x14ac:dyDescent="0.3">
      <c r="A22" s="140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40"/>
      <c r="B23" s="42" t="s">
        <v>35</v>
      </c>
      <c r="C23" s="43">
        <f t="shared" ref="C23:R23" si="11">C$8*(1-$C$21)</f>
        <v>2.8425138557633503</v>
      </c>
      <c r="D23" s="93">
        <f t="shared" si="11"/>
        <v>3.0225397332950288</v>
      </c>
      <c r="E23" s="44">
        <f t="shared" si="11"/>
        <v>3.2215157031984636</v>
      </c>
      <c r="F23" s="44">
        <f t="shared" si="11"/>
        <v>4.3585212455038036</v>
      </c>
      <c r="G23" s="44">
        <f t="shared" si="11"/>
        <v>2.8425138557633503</v>
      </c>
      <c r="H23" s="44">
        <f t="shared" si="11"/>
        <v>3.0320147794809071</v>
      </c>
      <c r="I23" s="44">
        <f t="shared" si="11"/>
        <v>4.0032070135333857</v>
      </c>
      <c r="J23" s="44">
        <f t="shared" si="11"/>
        <v>4.1690203217862463</v>
      </c>
      <c r="K23" s="44">
        <f t="shared" si="11"/>
        <v>4.074269859927468</v>
      </c>
      <c r="L23" s="44">
        <f t="shared" si="11"/>
        <v>4.074269859927468</v>
      </c>
      <c r="M23" s="44">
        <f t="shared" si="11"/>
        <v>3.9984694904404461</v>
      </c>
      <c r="N23" s="44">
        <f t="shared" si="11"/>
        <v>5.6092273420396772</v>
      </c>
      <c r="O23" s="44">
        <f t="shared" si="11"/>
        <v>5.7324029424560896</v>
      </c>
      <c r="P23" s="44">
        <f t="shared" si="11"/>
        <v>5.7380879701676157</v>
      </c>
      <c r="Q23" s="44">
        <f t="shared" si="11"/>
        <v>8.8117929528663854</v>
      </c>
      <c r="R23" s="45">
        <f t="shared" si="11"/>
        <v>11.370055423053401</v>
      </c>
    </row>
    <row r="24" spans="1:30" x14ac:dyDescent="0.25">
      <c r="A24" s="140"/>
      <c r="B24" s="22" t="s">
        <v>17</v>
      </c>
      <c r="C24" s="50">
        <f t="shared" ref="C24:R24" si="12">C23-C$11</f>
        <v>2.5451538557633504</v>
      </c>
      <c r="D24" s="94">
        <f t="shared" ref="D24" si="13">D23-D$11</f>
        <v>2.6880097332950288</v>
      </c>
      <c r="E24" s="51">
        <f t="shared" si="12"/>
        <v>2.8002557031984638</v>
      </c>
      <c r="F24" s="51">
        <f t="shared" si="12"/>
        <v>3.7638012455038039</v>
      </c>
      <c r="G24" s="51">
        <f t="shared" ref="G24" si="14">G23-G$11</f>
        <v>2.6194938557633503</v>
      </c>
      <c r="H24" s="51">
        <f t="shared" si="12"/>
        <v>2.8089947794809071</v>
      </c>
      <c r="I24" s="51">
        <f t="shared" si="12"/>
        <v>3.7306270135333857</v>
      </c>
      <c r="J24" s="51">
        <f t="shared" si="12"/>
        <v>3.8716603217862464</v>
      </c>
      <c r="K24" s="51">
        <f t="shared" si="12"/>
        <v>3.7645198599274678</v>
      </c>
      <c r="L24" s="51">
        <f t="shared" si="12"/>
        <v>3.806645859927468</v>
      </c>
      <c r="M24" s="51">
        <f t="shared" si="12"/>
        <v>3.6515494904404462</v>
      </c>
      <c r="N24" s="51">
        <f t="shared" si="12"/>
        <v>5.0392873420396773</v>
      </c>
      <c r="O24" s="51">
        <f t="shared" si="12"/>
        <v>5.4350429424560893</v>
      </c>
      <c r="P24" s="51">
        <f t="shared" si="12"/>
        <v>5.4407279701676154</v>
      </c>
      <c r="Q24" s="51">
        <f t="shared" si="12"/>
        <v>8.1675129528663852</v>
      </c>
      <c r="R24" s="52">
        <f t="shared" si="12"/>
        <v>10.663825423053401</v>
      </c>
    </row>
    <row r="25" spans="1:30" x14ac:dyDescent="0.25">
      <c r="A25" s="140"/>
      <c r="B25" s="46" t="s">
        <v>15</v>
      </c>
      <c r="C25" s="47">
        <f t="shared" ref="C25:R25" si="15">IF(C24&gt;0,C$13/C24,"N/A")</f>
        <v>208.23888457660283</v>
      </c>
      <c r="D25" s="95">
        <f t="shared" ref="D25" si="16">IF(D24&gt;0,D$13/D24,"N/A")</f>
        <v>204.61235433318032</v>
      </c>
      <c r="E25" s="48">
        <f t="shared" si="15"/>
        <v>196.41063470446207</v>
      </c>
      <c r="F25" s="48">
        <f t="shared" si="15"/>
        <v>225.83551695653452</v>
      </c>
      <c r="G25" s="48">
        <f t="shared" ref="G25" si="17">IF(G24&gt;0,G$13/G24,"N/A")</f>
        <v>248.13953984655657</v>
      </c>
      <c r="H25" s="48">
        <f t="shared" si="15"/>
        <v>266.99942822200529</v>
      </c>
      <c r="I25" s="48">
        <f t="shared" si="15"/>
        <v>227.84373696874624</v>
      </c>
      <c r="J25" s="48">
        <f t="shared" si="15"/>
        <v>232.458409363963</v>
      </c>
      <c r="K25" s="48">
        <f t="shared" si="15"/>
        <v>252.35621947769562</v>
      </c>
      <c r="L25" s="48">
        <f t="shared" si="15"/>
        <v>249.56353571017542</v>
      </c>
      <c r="M25" s="48">
        <f t="shared" si="15"/>
        <v>301.24198039208807</v>
      </c>
      <c r="N25" s="48">
        <f t="shared" si="15"/>
        <v>238.12890961567868</v>
      </c>
      <c r="O25" s="48">
        <f t="shared" si="15"/>
        <v>275.98677984357414</v>
      </c>
      <c r="P25" s="48">
        <f t="shared" si="15"/>
        <v>321.64813414593249</v>
      </c>
      <c r="Q25" s="48">
        <f t="shared" si="15"/>
        <v>287.72528596667468</v>
      </c>
      <c r="R25" s="49">
        <f t="shared" si="15"/>
        <v>328.21242482398361</v>
      </c>
    </row>
    <row r="26" spans="1:30" ht="15.75" thickBot="1" x14ac:dyDescent="0.3">
      <c r="A26" s="140"/>
      <c r="B26" s="53" t="s">
        <v>16</v>
      </c>
      <c r="C26" s="54">
        <f>IFERROR(C24*365/C$13,"N/A")</f>
        <v>1.7527946365162694</v>
      </c>
      <c r="D26" s="96">
        <f t="shared" ref="D26:R26" si="18">IFERROR(D24*365/D$13,"N/A")</f>
        <v>1.7838610048230645</v>
      </c>
      <c r="E26" s="55">
        <f t="shared" si="18"/>
        <v>1.8583515121226168</v>
      </c>
      <c r="F26" s="55">
        <f t="shared" si="18"/>
        <v>1.6162205348339864</v>
      </c>
      <c r="G26" s="55">
        <f t="shared" si="18"/>
        <v>1.4709465497748044</v>
      </c>
      <c r="H26" s="55">
        <f t="shared" si="18"/>
        <v>1.3670441260140416</v>
      </c>
      <c r="I26" s="55">
        <f t="shared" si="18"/>
        <v>1.6019751293408067</v>
      </c>
      <c r="J26" s="55">
        <f t="shared" si="18"/>
        <v>1.5701733527244222</v>
      </c>
      <c r="K26" s="55">
        <f t="shared" si="18"/>
        <v>1.4463681567089743</v>
      </c>
      <c r="L26" s="55">
        <f t="shared" si="18"/>
        <v>1.4625534093405537</v>
      </c>
      <c r="M26" s="55">
        <f t="shared" si="18"/>
        <v>1.2116505127370572</v>
      </c>
      <c r="N26" s="55">
        <f t="shared" si="18"/>
        <v>1.5327832332037352</v>
      </c>
      <c r="O26" s="55">
        <f t="shared" si="18"/>
        <v>1.3225271159976484</v>
      </c>
      <c r="P26" s="55">
        <f t="shared" si="18"/>
        <v>1.1347804052063883</v>
      </c>
      <c r="Q26" s="55">
        <f t="shared" si="18"/>
        <v>1.2685711607643535</v>
      </c>
      <c r="R26" s="56">
        <f t="shared" si="18"/>
        <v>1.1120846512612832</v>
      </c>
    </row>
    <row r="27" spans="1:30" ht="108.75" customHeight="1" thickBot="1" x14ac:dyDescent="0.3">
      <c r="A27" s="141"/>
      <c r="B27" s="156" t="s">
        <v>38</v>
      </c>
      <c r="C27" s="157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8"/>
    </row>
    <row r="28" spans="1:30" ht="15.75" thickBot="1" x14ac:dyDescent="0.3"/>
    <row r="29" spans="1:30" ht="15.75" thickBot="1" x14ac:dyDescent="0.3">
      <c r="A29" s="139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40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40"/>
      <c r="B31" s="42" t="s">
        <v>35</v>
      </c>
      <c r="C31" s="43">
        <f t="shared" ref="C31:R31" si="20">C$8*(1-$C$29)</f>
        <v>0.18763686628795542</v>
      </c>
      <c r="D31" s="93">
        <f t="shared" si="20"/>
        <v>0.19952053448619261</v>
      </c>
      <c r="E31" s="44">
        <f t="shared" si="20"/>
        <v>0.21265511512634949</v>
      </c>
      <c r="F31" s="44">
        <f t="shared" si="20"/>
        <v>0.28770986164153162</v>
      </c>
      <c r="G31" s="44">
        <f t="shared" si="20"/>
        <v>0.18763686628795542</v>
      </c>
      <c r="H31" s="44">
        <f t="shared" si="20"/>
        <v>0.20014599070715247</v>
      </c>
      <c r="I31" s="44">
        <f t="shared" si="20"/>
        <v>0.26425525335553729</v>
      </c>
      <c r="J31" s="44">
        <f t="shared" si="20"/>
        <v>0.27520073722233462</v>
      </c>
      <c r="K31" s="44">
        <f t="shared" si="20"/>
        <v>0.2689461750127361</v>
      </c>
      <c r="L31" s="44">
        <f t="shared" si="20"/>
        <v>0.2689461750127361</v>
      </c>
      <c r="M31" s="44">
        <f t="shared" si="20"/>
        <v>0.26394252524505735</v>
      </c>
      <c r="N31" s="44">
        <f t="shared" si="20"/>
        <v>0.37027008280823204</v>
      </c>
      <c r="O31" s="44">
        <f t="shared" si="20"/>
        <v>0.37840101368071011</v>
      </c>
      <c r="P31" s="44">
        <f t="shared" si="20"/>
        <v>0.37877628741328601</v>
      </c>
      <c r="Q31" s="44">
        <f t="shared" si="20"/>
        <v>0.58167428549266187</v>
      </c>
      <c r="R31" s="45">
        <f t="shared" si="20"/>
        <v>0.75054746515182169</v>
      </c>
    </row>
    <row r="32" spans="1:30" x14ac:dyDescent="0.25">
      <c r="A32" s="140"/>
      <c r="B32" s="22" t="s">
        <v>17</v>
      </c>
      <c r="C32" s="50">
        <f t="shared" ref="C32:R32" si="21">C31-C$11</f>
        <v>-0.10972313371204453</v>
      </c>
      <c r="D32" s="94">
        <f t="shared" ref="D32" si="22">D31-D$11</f>
        <v>-0.13500946551380744</v>
      </c>
      <c r="E32" s="51">
        <f t="shared" si="21"/>
        <v>-0.20860488487365048</v>
      </c>
      <c r="F32" s="51">
        <f t="shared" si="21"/>
        <v>-0.3070101383584683</v>
      </c>
      <c r="G32" s="51">
        <f t="shared" ref="G32" si="23">G31-G$11</f>
        <v>-3.5383133712044573E-2</v>
      </c>
      <c r="H32" s="51">
        <f t="shared" si="21"/>
        <v>-2.2874009292847525E-2</v>
      </c>
      <c r="I32" s="51">
        <f t="shared" si="21"/>
        <v>-8.3247466444626994E-3</v>
      </c>
      <c r="J32" s="51">
        <f t="shared" si="21"/>
        <v>-2.2159262777665334E-2</v>
      </c>
      <c r="K32" s="51">
        <f t="shared" si="21"/>
        <v>-4.080382498726387E-2</v>
      </c>
      <c r="L32" s="51">
        <f t="shared" si="21"/>
        <v>1.3221750127361265E-3</v>
      </c>
      <c r="M32" s="51">
        <f t="shared" si="21"/>
        <v>-8.2977474754942604E-2</v>
      </c>
      <c r="N32" s="51">
        <f t="shared" si="21"/>
        <v>-0.19966991719176785</v>
      </c>
      <c r="O32" s="51">
        <f t="shared" si="21"/>
        <v>8.104101368071015E-2</v>
      </c>
      <c r="P32" s="51">
        <f t="shared" si="21"/>
        <v>8.1416287413286048E-2</v>
      </c>
      <c r="Q32" s="51">
        <f t="shared" si="21"/>
        <v>-6.2605714507338095E-2</v>
      </c>
      <c r="R32" s="52">
        <f t="shared" si="21"/>
        <v>4.4317465151821778E-2</v>
      </c>
    </row>
    <row r="33" spans="1:18" x14ac:dyDescent="0.25">
      <c r="A33" s="140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>
        <f t="shared" si="24"/>
        <v>718513.04921733274</v>
      </c>
      <c r="M33" s="48" t="str">
        <f t="shared" si="24"/>
        <v>N/A</v>
      </c>
      <c r="N33" s="48" t="str">
        <f t="shared" si="24"/>
        <v>N/A</v>
      </c>
      <c r="O33" s="48">
        <f t="shared" si="24"/>
        <v>18509.146565093357</v>
      </c>
      <c r="P33" s="48">
        <f t="shared" si="24"/>
        <v>21494.470647090984</v>
      </c>
      <c r="Q33" s="48" t="str">
        <f t="shared" si="24"/>
        <v>N/A</v>
      </c>
      <c r="R33" s="49">
        <f t="shared" si="24"/>
        <v>78975.636084098645</v>
      </c>
    </row>
    <row r="34" spans="1:18" ht="15.75" thickBot="1" x14ac:dyDescent="0.3">
      <c r="A34" s="140"/>
      <c r="B34" s="53" t="s">
        <v>16</v>
      </c>
      <c r="C34" s="54">
        <f>IFERROR(C32*365/C$13,"N/A")</f>
        <v>-7.5564044914898598E-2</v>
      </c>
      <c r="D34" s="96">
        <f t="shared" ref="D34:R34" si="27">IFERROR(D32*365/D$13,"N/A")</f>
        <v>-8.9597190750072206E-2</v>
      </c>
      <c r="E34" s="55">
        <f t="shared" si="27"/>
        <v>-0.1384377872343317</v>
      </c>
      <c r="F34" s="55">
        <f t="shared" si="27"/>
        <v>-0.13183376529510699</v>
      </c>
      <c r="G34" s="55">
        <f t="shared" si="27"/>
        <v>-1.9868990469071184E-2</v>
      </c>
      <c r="H34" s="55">
        <f t="shared" si="27"/>
        <v>-1.1132017855852463E-2</v>
      </c>
      <c r="I34" s="55">
        <f t="shared" si="27"/>
        <v>-3.5747441473281002E-3</v>
      </c>
      <c r="J34" s="55">
        <f t="shared" si="27"/>
        <v>-8.9868121264976078E-3</v>
      </c>
      <c r="K34" s="55">
        <f t="shared" si="27"/>
        <v>-1.5677259074054012E-2</v>
      </c>
      <c r="L34" s="55">
        <f t="shared" si="27"/>
        <v>5.0799355752493278E-4</v>
      </c>
      <c r="M34" s="55">
        <f t="shared" si="27"/>
        <v>-2.7533434805049137E-2</v>
      </c>
      <c r="N34" s="55">
        <f t="shared" si="27"/>
        <v>-6.0732933145829393E-2</v>
      </c>
      <c r="O34" s="55">
        <f t="shared" si="27"/>
        <v>1.9719979995639469E-2</v>
      </c>
      <c r="P34" s="55">
        <f t="shared" si="27"/>
        <v>1.6981111374771089E-2</v>
      </c>
      <c r="Q34" s="55">
        <f t="shared" si="27"/>
        <v>-9.7238662958205983E-3</v>
      </c>
      <c r="R34" s="56">
        <f t="shared" si="27"/>
        <v>4.6216785086899848E-3</v>
      </c>
    </row>
    <row r="35" spans="1:18" ht="80.25" customHeight="1" thickBot="1" x14ac:dyDescent="0.3">
      <c r="A35" s="141"/>
      <c r="B35" s="156" t="s">
        <v>47</v>
      </c>
      <c r="C35" s="157"/>
      <c r="D35" s="157"/>
      <c r="E35" s="157"/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8"/>
    </row>
    <row r="36" spans="1:18" ht="15.75" thickBot="1" x14ac:dyDescent="0.3"/>
    <row r="37" spans="1:18" ht="15.75" thickBot="1" x14ac:dyDescent="0.3">
      <c r="A37" s="139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40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40"/>
      <c r="B39" s="42" t="s">
        <v>35</v>
      </c>
      <c r="C39" s="43">
        <f t="shared" ref="C39:R39" si="29">C$8*(1-$C$37)</f>
        <v>1.0964322909597386</v>
      </c>
      <c r="D39" s="93">
        <f t="shared" si="29"/>
        <v>1.165873002720522</v>
      </c>
      <c r="E39" s="44">
        <f t="shared" si="29"/>
        <v>1.2426232630877037</v>
      </c>
      <c r="F39" s="44">
        <f t="shared" si="29"/>
        <v>1.6811961794715991</v>
      </c>
      <c r="G39" s="44">
        <f t="shared" si="29"/>
        <v>1.0964322909597386</v>
      </c>
      <c r="H39" s="44">
        <f t="shared" si="29"/>
        <v>1.1695277770237211</v>
      </c>
      <c r="I39" s="44">
        <f t="shared" si="29"/>
        <v>1.544142143101632</v>
      </c>
      <c r="J39" s="44">
        <f t="shared" si="29"/>
        <v>1.6081006934076165</v>
      </c>
      <c r="K39" s="44">
        <f t="shared" si="29"/>
        <v>1.5715529503756251</v>
      </c>
      <c r="L39" s="44">
        <f t="shared" si="29"/>
        <v>1.5715529503756251</v>
      </c>
      <c r="M39" s="44">
        <f t="shared" si="29"/>
        <v>1.5423147559500323</v>
      </c>
      <c r="N39" s="44">
        <f t="shared" si="29"/>
        <v>2.1636263874938839</v>
      </c>
      <c r="O39" s="44">
        <f t="shared" si="29"/>
        <v>2.2111384534354728</v>
      </c>
      <c r="P39" s="44">
        <f t="shared" si="29"/>
        <v>2.2133313180173921</v>
      </c>
      <c r="Q39" s="44">
        <f t="shared" si="29"/>
        <v>3.3989401019751893</v>
      </c>
      <c r="R39" s="45">
        <f t="shared" si="29"/>
        <v>4.3857291638389544</v>
      </c>
    </row>
    <row r="40" spans="1:18" x14ac:dyDescent="0.25">
      <c r="A40" s="140"/>
      <c r="B40" s="22" t="s">
        <v>17</v>
      </c>
      <c r="C40" s="50">
        <f>C39-C$11</f>
        <v>0.79907229095973864</v>
      </c>
      <c r="D40" s="94">
        <f>D39-D$11</f>
        <v>0.83134300272052197</v>
      </c>
      <c r="E40" s="51">
        <f>E39-E$11</f>
        <v>0.82136326308770369</v>
      </c>
      <c r="F40" s="51">
        <f t="shared" ref="F40:G40" si="30">F39-F$11</f>
        <v>1.0864761794715991</v>
      </c>
      <c r="G40" s="51">
        <f t="shared" si="30"/>
        <v>0.8734122909597386</v>
      </c>
      <c r="H40" s="51">
        <f t="shared" ref="H40" si="31">H39-H$11</f>
        <v>0.94650777702372113</v>
      </c>
      <c r="I40" s="51">
        <f t="shared" ref="I40" si="32">I39-I$11</f>
        <v>1.271562143101632</v>
      </c>
      <c r="J40" s="51">
        <f t="shared" ref="J40" si="33">J39-J$11</f>
        <v>1.3107406934076167</v>
      </c>
      <c r="K40" s="51">
        <f t="shared" ref="K40" si="34">K39-K$11</f>
        <v>1.2618029503756252</v>
      </c>
      <c r="L40" s="51">
        <f t="shared" ref="L40" si="35">L39-L$11</f>
        <v>1.3039289503756253</v>
      </c>
      <c r="M40" s="51">
        <f t="shared" ref="M40" si="36">M39-M$11</f>
        <v>1.1953947559500324</v>
      </c>
      <c r="N40" s="51">
        <f t="shared" ref="N40" si="37">N39-N$11</f>
        <v>1.593686387493884</v>
      </c>
      <c r="O40" s="51">
        <f t="shared" ref="O40" si="38">O39-O$11</f>
        <v>1.9137784534354729</v>
      </c>
      <c r="P40" s="51">
        <f t="shared" ref="P40" si="39">P39-P$11</f>
        <v>1.9159713180173923</v>
      </c>
      <c r="Q40" s="51">
        <f t="shared" ref="Q40" si="40">Q39-Q$11</f>
        <v>2.7546601019751895</v>
      </c>
      <c r="R40" s="52">
        <f>R39-R$11</f>
        <v>3.6794991638389547</v>
      </c>
    </row>
    <row r="41" spans="1:18" x14ac:dyDescent="0.25">
      <c r="A41" s="140"/>
      <c r="B41" s="46" t="s">
        <v>15</v>
      </c>
      <c r="C41" s="47">
        <f>IF(C40&gt;0,C$13/C40,"N/A")</f>
        <v>663.26915098436837</v>
      </c>
      <c r="D41" s="95">
        <f>IF(D40&gt;0,D$13/D40,"N/A")</f>
        <v>661.58011578873788</v>
      </c>
      <c r="E41" s="48">
        <f>IF(E40&gt;0,E$13/E40,"N/A")</f>
        <v>669.61845594654017</v>
      </c>
      <c r="F41" s="48">
        <f t="shared" ref="F41:G41" si="41">IF(F40&gt;0,F$13/F40,"N/A")</f>
        <v>782.34573022428538</v>
      </c>
      <c r="G41" s="48">
        <f t="shared" si="41"/>
        <v>744.20752573307084</v>
      </c>
      <c r="H41" s="48">
        <f t="shared" ref="H41" si="42">IF(H40&gt;0,H$13/H40,"N/A")</f>
        <v>792.38651620841745</v>
      </c>
      <c r="I41" s="48">
        <f t="shared" ref="I41" si="43">IF(I40&gt;0,I$13/I40,"N/A")</f>
        <v>668.46909890432482</v>
      </c>
      <c r="J41" s="48">
        <f t="shared" ref="J41" si="44">IF(J40&gt;0,J$13/J40,"N/A")</f>
        <v>686.63466734996393</v>
      </c>
      <c r="K41" s="48">
        <f t="shared" ref="K41" si="45">IF(K40&gt;0,K$13/K40,"N/A")</f>
        <v>752.89093254790316</v>
      </c>
      <c r="L41" s="48">
        <f t="shared" ref="L41" si="46">IF(L40&gt;0,L$13/L40,"N/A")</f>
        <v>728.56730401325296</v>
      </c>
      <c r="M41" s="48">
        <f t="shared" ref="M41" si="47">IF(M40&gt;0,M$13/M40,"N/A")</f>
        <v>920.1981140746949</v>
      </c>
      <c r="N41" s="48">
        <f t="shared" ref="N41" si="48">IF(N40&gt;0,N$13/N40,"N/A")</f>
        <v>752.97123036046833</v>
      </c>
      <c r="O41" s="48">
        <f t="shared" ref="O41" si="49">IF(O40&gt;0,O$13/O40,"N/A")</f>
        <v>783.78978366451531</v>
      </c>
      <c r="P41" s="48">
        <f t="shared" ref="P41" si="50">IF(P40&gt;0,P$13/P40,"N/A")</f>
        <v>913.3748420675023</v>
      </c>
      <c r="Q41" s="48">
        <f t="shared" ref="Q41" si="51">IF(Q40&gt;0,Q$13/Q40,"N/A")</f>
        <v>853.09980651150613</v>
      </c>
      <c r="R41" s="49">
        <f>IF(R40&gt;0,R$13/R40,"N/A")</f>
        <v>951.21641401552142</v>
      </c>
    </row>
    <row r="42" spans="1:18" ht="15.75" thickBot="1" x14ac:dyDescent="0.3">
      <c r="A42" s="140"/>
      <c r="B42" s="53" t="s">
        <v>16</v>
      </c>
      <c r="C42" s="12">
        <f>IFERROR(C40*365/C$13,"N/A")</f>
        <v>0.55030450226472571</v>
      </c>
      <c r="D42" s="97">
        <f t="shared" ref="D42:R42" si="52">IFERROR(D40*365/D$13,"N/A")</f>
        <v>0.55170944725998283</v>
      </c>
      <c r="E42" s="13">
        <f t="shared" si="52"/>
        <v>0.54508652914002154</v>
      </c>
      <c r="F42" s="13">
        <f t="shared" si="52"/>
        <v>0.46654565353780431</v>
      </c>
      <c r="G42" s="13">
        <f t="shared" si="52"/>
        <v>0.49045459415431475</v>
      </c>
      <c r="H42" s="13">
        <f t="shared" si="52"/>
        <v>0.46063378481821093</v>
      </c>
      <c r="I42" s="13">
        <f t="shared" si="52"/>
        <v>0.54602374380246543</v>
      </c>
      <c r="J42" s="13">
        <f t="shared" si="52"/>
        <v>0.53157817010420005</v>
      </c>
      <c r="K42" s="13">
        <f t="shared" si="52"/>
        <v>0.48479797567063493</v>
      </c>
      <c r="L42" s="13">
        <f t="shared" si="52"/>
        <v>0.50098322830221398</v>
      </c>
      <c r="M42" s="13">
        <f t="shared" si="52"/>
        <v>0.39665371447432896</v>
      </c>
      <c r="N42" s="13">
        <f t="shared" si="52"/>
        <v>0.48474627619605637</v>
      </c>
      <c r="O42" s="13">
        <f t="shared" si="52"/>
        <v>0.46568609033596509</v>
      </c>
      <c r="P42" s="13">
        <f t="shared" si="52"/>
        <v>0.39961687490077041</v>
      </c>
      <c r="Q42" s="13">
        <f t="shared" si="52"/>
        <v>0.4278514626472103</v>
      </c>
      <c r="R42" s="14">
        <f t="shared" si="52"/>
        <v>0.38371919851463387</v>
      </c>
    </row>
    <row r="43" spans="1:18" ht="74.25" customHeight="1" thickBot="1" x14ac:dyDescent="0.3">
      <c r="A43" s="141"/>
      <c r="B43" s="156" t="s">
        <v>37</v>
      </c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7"/>
      <c r="R43" s="158"/>
    </row>
    <row r="44" spans="1:18" x14ac:dyDescent="0.25"/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C2" sqref="C2:D2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35" t="s">
        <v>75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</row>
    <row r="2" spans="1:20" x14ac:dyDescent="0.25">
      <c r="A2" s="153" t="s">
        <v>44</v>
      </c>
      <c r="B2" s="153"/>
      <c r="C2" s="164">
        <f>'Card Data'!$B$2</f>
        <v>44442</v>
      </c>
      <c r="D2" s="165"/>
      <c r="O2" s="152" t="s">
        <v>49</v>
      </c>
      <c r="P2" s="152"/>
      <c r="Q2" s="152"/>
      <c r="R2" s="152"/>
    </row>
    <row r="3" spans="1:20" ht="15.75" thickBot="1" x14ac:dyDescent="0.3"/>
    <row r="4" spans="1:20" ht="15.75" thickBot="1" x14ac:dyDescent="0.3">
      <c r="A4" s="139" t="s">
        <v>32</v>
      </c>
      <c r="B4" s="148" t="s">
        <v>56</v>
      </c>
      <c r="C4" s="149"/>
      <c r="D4" s="59">
        <f>'Electricity Calculations'!$F$5</f>
        <v>10.324999999999999</v>
      </c>
      <c r="E4" s="1"/>
      <c r="F4" s="148" t="s">
        <v>50</v>
      </c>
      <c r="G4" s="149"/>
      <c r="H4" s="57">
        <f>'Card Data'!$C$5</f>
        <v>4891.0200000000004</v>
      </c>
      <c r="I4" s="1"/>
      <c r="J4" s="148" t="s">
        <v>113</v>
      </c>
      <c r="K4" s="149"/>
      <c r="L4" s="57">
        <f>'Card Data'!$C$7</f>
        <v>6541</v>
      </c>
      <c r="N4" s="133" t="s">
        <v>48</v>
      </c>
      <c r="O4" s="134"/>
      <c r="P4" s="159">
        <f>$L$4*$L$5*$H$4/$D$5/10000</f>
        <v>10.587542053597476</v>
      </c>
    </row>
    <row r="5" spans="1:20" ht="15.75" thickBot="1" x14ac:dyDescent="0.3">
      <c r="A5" s="140"/>
      <c r="B5" s="148" t="s">
        <v>46</v>
      </c>
      <c r="C5" s="149"/>
      <c r="D5" s="58">
        <f>'Card Data'!$C$4</f>
        <v>675.29300000000001</v>
      </c>
      <c r="E5" s="1"/>
      <c r="F5" s="148" t="s">
        <v>112</v>
      </c>
      <c r="G5" s="149"/>
      <c r="H5" s="57">
        <f>'Card Data'!$C$6</f>
        <v>14618</v>
      </c>
      <c r="I5" s="1"/>
      <c r="J5" s="148" t="s">
        <v>39</v>
      </c>
      <c r="K5" s="149"/>
      <c r="L5" s="59">
        <f>$H$5/$L$4</f>
        <v>2.2348264791316312</v>
      </c>
      <c r="N5" s="154"/>
      <c r="O5" s="155"/>
      <c r="P5" s="160"/>
    </row>
    <row r="6" spans="1:20" ht="15.75" thickBot="1" x14ac:dyDescent="0.3">
      <c r="A6" s="140"/>
    </row>
    <row r="7" spans="1:20" ht="15.75" thickBot="1" x14ac:dyDescent="0.3">
      <c r="A7" s="140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40"/>
      <c r="B8" s="26" t="s">
        <v>51</v>
      </c>
      <c r="C8" s="61">
        <f t="shared" ref="C8:R8" si="0">$P$4*C9/100</f>
        <v>3.2186127842936325</v>
      </c>
      <c r="D8" s="83">
        <f t="shared" si="0"/>
        <v>3.2186127842936325</v>
      </c>
      <c r="E8" s="27">
        <f t="shared" si="0"/>
        <v>3.2292003263472298</v>
      </c>
      <c r="F8" s="27">
        <f t="shared" si="0"/>
        <v>3.3139006627760104</v>
      </c>
      <c r="G8" s="27">
        <f t="shared" si="0"/>
        <v>3.2609629525080224</v>
      </c>
      <c r="H8" s="27">
        <f t="shared" si="0"/>
        <v>2.7527609339353436</v>
      </c>
      <c r="I8" s="27">
        <f t="shared" si="0"/>
        <v>3.9173905598310661</v>
      </c>
      <c r="J8" s="27">
        <f t="shared" si="0"/>
        <v>5.6643349986746498</v>
      </c>
      <c r="K8" s="27">
        <f t="shared" si="0"/>
        <v>5.7913855033178194</v>
      </c>
      <c r="L8" s="27">
        <f t="shared" si="0"/>
        <v>4.9761447651908135</v>
      </c>
      <c r="M8" s="27">
        <f t="shared" si="0"/>
        <v>6.7125016619807987</v>
      </c>
      <c r="N8" s="27">
        <f t="shared" si="0"/>
        <v>6.8183770825167755</v>
      </c>
      <c r="O8" s="27">
        <f t="shared" si="0"/>
        <v>6.7760269143023848</v>
      </c>
      <c r="P8" s="27">
        <f t="shared" si="0"/>
        <v>4.0867912326886255</v>
      </c>
      <c r="Q8" s="27">
        <f t="shared" si="0"/>
        <v>4.9761447651908135</v>
      </c>
      <c r="R8" s="28">
        <f t="shared" si="0"/>
        <v>9.5817255585057168</v>
      </c>
    </row>
    <row r="9" spans="1:20" x14ac:dyDescent="0.25">
      <c r="A9" s="140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40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40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40"/>
      <c r="B12" s="29" t="s">
        <v>52</v>
      </c>
      <c r="C12" s="33">
        <f t="shared" ref="C12:R12" si="2">C8-C11</f>
        <v>2.9212527842936327</v>
      </c>
      <c r="D12" s="87">
        <f t="shared" si="2"/>
        <v>2.8964727842936324</v>
      </c>
      <c r="E12" s="34">
        <f t="shared" si="2"/>
        <v>2.9070603263472297</v>
      </c>
      <c r="F12" s="34">
        <f t="shared" si="2"/>
        <v>2.9917606627760103</v>
      </c>
      <c r="G12" s="34">
        <f t="shared" si="2"/>
        <v>2.9388229525080223</v>
      </c>
      <c r="H12" s="34">
        <f>H8-H11</f>
        <v>2.5793009339353437</v>
      </c>
      <c r="I12" s="34">
        <f t="shared" si="2"/>
        <v>3.6695905598310663</v>
      </c>
      <c r="J12" s="34">
        <f t="shared" si="2"/>
        <v>5.2678549986746503</v>
      </c>
      <c r="K12" s="34">
        <f t="shared" si="2"/>
        <v>5.4444655033178195</v>
      </c>
      <c r="L12" s="34">
        <f t="shared" si="2"/>
        <v>4.5548847651908133</v>
      </c>
      <c r="M12" s="34">
        <f t="shared" si="2"/>
        <v>6.2788516619807986</v>
      </c>
      <c r="N12" s="34">
        <f t="shared" si="2"/>
        <v>6.3475570825167758</v>
      </c>
      <c r="O12" s="34">
        <f t="shared" si="2"/>
        <v>6.2308669143023847</v>
      </c>
      <c r="P12" s="34">
        <f t="shared" si="2"/>
        <v>3.5540212326886254</v>
      </c>
      <c r="Q12" s="34">
        <f t="shared" si="2"/>
        <v>4.4309847651908134</v>
      </c>
      <c r="R12" s="35">
        <f t="shared" si="2"/>
        <v>9.0365655585057176</v>
      </c>
    </row>
    <row r="13" spans="1:20" ht="17.25" x14ac:dyDescent="0.25">
      <c r="A13" s="140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40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40"/>
      <c r="B15" s="15" t="s">
        <v>54</v>
      </c>
      <c r="C15" s="39">
        <f t="shared" ref="C15:R15" si="4">C13/C12</f>
        <v>171.15944319789546</v>
      </c>
      <c r="D15" s="90">
        <f t="shared" si="4"/>
        <v>172.62375214132587</v>
      </c>
      <c r="E15" s="40">
        <f t="shared" si="4"/>
        <v>171.99505475287415</v>
      </c>
      <c r="F15" s="40">
        <f t="shared" si="4"/>
        <v>167.12566824648914</v>
      </c>
      <c r="G15" s="40">
        <f t="shared" si="4"/>
        <v>170.1361422855687</v>
      </c>
      <c r="H15" s="40">
        <f t="shared" si="4"/>
        <v>193.85097466588741</v>
      </c>
      <c r="I15" s="40">
        <f t="shared" si="4"/>
        <v>177.13147813142496</v>
      </c>
      <c r="J15" s="40">
        <f t="shared" si="4"/>
        <v>170.84752716740167</v>
      </c>
      <c r="K15" s="40">
        <f t="shared" si="4"/>
        <v>174.48912100206653</v>
      </c>
      <c r="L15" s="40">
        <f t="shared" si="4"/>
        <v>175.63561785662131</v>
      </c>
      <c r="M15" s="40">
        <f t="shared" si="4"/>
        <v>207.04422878337073</v>
      </c>
      <c r="N15" s="40">
        <f t="shared" si="4"/>
        <v>267.81956867821634</v>
      </c>
      <c r="O15" s="40">
        <f t="shared" si="4"/>
        <v>256.78609766601602</v>
      </c>
      <c r="P15" s="40">
        <f t="shared" si="4"/>
        <v>196.95999381254353</v>
      </c>
      <c r="Q15" s="40">
        <f t="shared" si="4"/>
        <v>191.8309461764525</v>
      </c>
      <c r="R15" s="41">
        <f t="shared" si="4"/>
        <v>232.38917334289278</v>
      </c>
    </row>
    <row r="16" spans="1:20" ht="18" thickBot="1" x14ac:dyDescent="0.3">
      <c r="A16" s="141"/>
      <c r="B16" s="8" t="s">
        <v>40</v>
      </c>
      <c r="C16" s="36">
        <f>IFERROR(C12*365/C13,"N/A")</f>
        <v>2.1325145325343517</v>
      </c>
      <c r="D16" s="91">
        <f t="shared" ref="D16:R16" si="5">IFERROR(D12*365/D13,"N/A")</f>
        <v>2.1144251325343517</v>
      </c>
      <c r="E16" s="37">
        <f t="shared" si="5"/>
        <v>2.1221540382334778</v>
      </c>
      <c r="F16" s="37">
        <f t="shared" si="5"/>
        <v>2.1839852838264875</v>
      </c>
      <c r="G16" s="37">
        <f t="shared" si="5"/>
        <v>2.1453407553308561</v>
      </c>
      <c r="H16" s="37">
        <f t="shared" si="5"/>
        <v>1.8828896817728009</v>
      </c>
      <c r="I16" s="37">
        <f t="shared" si="5"/>
        <v>2.0606162374435986</v>
      </c>
      <c r="J16" s="37">
        <f t="shared" si="5"/>
        <v>2.1364078605736081</v>
      </c>
      <c r="K16" s="37">
        <f t="shared" si="5"/>
        <v>2.0918209565378989</v>
      </c>
      <c r="L16" s="37">
        <f t="shared" si="5"/>
        <v>2.0781661741183086</v>
      </c>
      <c r="M16" s="37">
        <f t="shared" si="5"/>
        <v>1.7629083512484549</v>
      </c>
      <c r="N16" s="37">
        <f t="shared" si="5"/>
        <v>1.3628578441874253</v>
      </c>
      <c r="O16" s="37">
        <f t="shared" si="5"/>
        <v>1.4214165148252313</v>
      </c>
      <c r="P16" s="37">
        <f t="shared" si="5"/>
        <v>1.8531682141876402</v>
      </c>
      <c r="Q16" s="37">
        <f t="shared" si="5"/>
        <v>1.9027169874054668</v>
      </c>
      <c r="R16" s="38">
        <f t="shared" si="5"/>
        <v>1.5706411565974223</v>
      </c>
    </row>
    <row r="17" spans="1:18" ht="15.75" thickBot="1" x14ac:dyDescent="0.3"/>
    <row r="18" spans="1:18" ht="15.75" thickBot="1" x14ac:dyDescent="0.3">
      <c r="A18" s="139" t="s">
        <v>18</v>
      </c>
      <c r="B18" s="108" t="s">
        <v>33</v>
      </c>
      <c r="C18" s="60">
        <f>1-2/$L$5</f>
        <v>0.10507593378027091</v>
      </c>
      <c r="D18" s="92"/>
    </row>
    <row r="19" spans="1:18" ht="15.75" customHeight="1" thickBot="1" x14ac:dyDescent="0.3">
      <c r="A19" s="140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40"/>
      <c r="B20" s="42" t="s">
        <v>35</v>
      </c>
      <c r="C20" s="43">
        <f t="shared" ref="C20:R20" si="7">C$8*(1-$C$18)</f>
        <v>2.8804140405068615</v>
      </c>
      <c r="D20" s="93">
        <f t="shared" si="7"/>
        <v>2.8804140405068615</v>
      </c>
      <c r="E20" s="44">
        <f t="shared" si="7"/>
        <v>2.8898890866927389</v>
      </c>
      <c r="F20" s="44">
        <f t="shared" si="7"/>
        <v>2.9656894561797622</v>
      </c>
      <c r="G20" s="44">
        <f t="shared" si="7"/>
        <v>2.9183142252503727</v>
      </c>
      <c r="H20" s="44">
        <f t="shared" si="7"/>
        <v>2.4635120083282369</v>
      </c>
      <c r="I20" s="44">
        <f t="shared" si="7"/>
        <v>3.5057670887747987</v>
      </c>
      <c r="J20" s="44">
        <f t="shared" si="7"/>
        <v>5.0691497094446412</v>
      </c>
      <c r="K20" s="44">
        <f t="shared" si="7"/>
        <v>5.1828502636751752</v>
      </c>
      <c r="L20" s="44">
        <f t="shared" si="7"/>
        <v>4.4532717073625818</v>
      </c>
      <c r="M20" s="44">
        <f t="shared" si="7"/>
        <v>6.0071792818465459</v>
      </c>
      <c r="N20" s="44">
        <f t="shared" si="7"/>
        <v>6.1019297437053259</v>
      </c>
      <c r="O20" s="44">
        <f t="shared" si="7"/>
        <v>6.0640295589618143</v>
      </c>
      <c r="P20" s="44">
        <f t="shared" si="7"/>
        <v>3.6573678277488439</v>
      </c>
      <c r="Q20" s="44">
        <f t="shared" si="7"/>
        <v>4.4532717073625818</v>
      </c>
      <c r="R20" s="45">
        <f t="shared" si="7"/>
        <v>8.5749167982194408</v>
      </c>
    </row>
    <row r="21" spans="1:18" x14ac:dyDescent="0.25">
      <c r="A21" s="140"/>
      <c r="B21" s="22" t="s">
        <v>17</v>
      </c>
      <c r="C21" s="50">
        <f t="shared" ref="C21:R21" si="8">C20-C$11</f>
        <v>2.5830540405068616</v>
      </c>
      <c r="D21" s="94">
        <f t="shared" si="8"/>
        <v>2.5582740405068614</v>
      </c>
      <c r="E21" s="51">
        <f t="shared" si="8"/>
        <v>2.5677490866927388</v>
      </c>
      <c r="F21" s="51">
        <f t="shared" si="8"/>
        <v>2.6435494561797621</v>
      </c>
      <c r="G21" s="51">
        <f t="shared" si="8"/>
        <v>2.5961742252503726</v>
      </c>
      <c r="H21" s="51">
        <f t="shared" si="8"/>
        <v>2.290052008328237</v>
      </c>
      <c r="I21" s="51">
        <f t="shared" si="8"/>
        <v>3.2579670887747989</v>
      </c>
      <c r="J21" s="51">
        <f t="shared" si="8"/>
        <v>4.6726697094446408</v>
      </c>
      <c r="K21" s="51">
        <f t="shared" si="8"/>
        <v>4.8359302636751753</v>
      </c>
      <c r="L21" s="51">
        <f t="shared" si="8"/>
        <v>4.0320117073625816</v>
      </c>
      <c r="M21" s="51">
        <f t="shared" si="8"/>
        <v>5.5735292818465458</v>
      </c>
      <c r="N21" s="51">
        <f t="shared" si="8"/>
        <v>5.6311097437053261</v>
      </c>
      <c r="O21" s="51">
        <f t="shared" si="8"/>
        <v>5.5188695589618142</v>
      </c>
      <c r="P21" s="51">
        <f t="shared" si="8"/>
        <v>3.1245978277488442</v>
      </c>
      <c r="Q21" s="51">
        <f t="shared" si="8"/>
        <v>3.9081117073625817</v>
      </c>
      <c r="R21" s="52">
        <f t="shared" si="8"/>
        <v>8.0297567982194415</v>
      </c>
    </row>
    <row r="22" spans="1:18" x14ac:dyDescent="0.25">
      <c r="A22" s="140"/>
      <c r="B22" s="46" t="s">
        <v>15</v>
      </c>
      <c r="C22" s="47">
        <f t="shared" ref="C22:R22" si="9">IF(C21&gt;0,C$13/C21,"N/A")</f>
        <v>193.56931452424709</v>
      </c>
      <c r="D22" s="95">
        <f t="shared" si="9"/>
        <v>195.44426909829286</v>
      </c>
      <c r="E22" s="48">
        <f t="shared" si="9"/>
        <v>194.7230757830782</v>
      </c>
      <c r="F22" s="48">
        <f t="shared" si="9"/>
        <v>189.13964285069909</v>
      </c>
      <c r="G22" s="48">
        <f t="shared" si="9"/>
        <v>192.59108080536487</v>
      </c>
      <c r="H22" s="48">
        <f t="shared" si="9"/>
        <v>218.33565271952293</v>
      </c>
      <c r="I22" s="48">
        <f t="shared" si="9"/>
        <v>199.5109165588413</v>
      </c>
      <c r="J22" s="48">
        <f t="shared" si="9"/>
        <v>192.60937664412137</v>
      </c>
      <c r="K22" s="48">
        <f t="shared" si="9"/>
        <v>196.44617440740882</v>
      </c>
      <c r="L22" s="48">
        <f t="shared" si="9"/>
        <v>198.41212230092847</v>
      </c>
      <c r="M22" s="48">
        <f t="shared" si="9"/>
        <v>233.24538802266807</v>
      </c>
      <c r="N22" s="48">
        <f t="shared" si="9"/>
        <v>301.89431166748727</v>
      </c>
      <c r="O22" s="48">
        <f t="shared" si="9"/>
        <v>289.91444405527591</v>
      </c>
      <c r="P22" s="48">
        <f t="shared" si="9"/>
        <v>224.02883141742558</v>
      </c>
      <c r="Q22" s="48">
        <f t="shared" si="9"/>
        <v>217.49634187750198</v>
      </c>
      <c r="R22" s="49">
        <f t="shared" si="9"/>
        <v>261.52722339805666</v>
      </c>
    </row>
    <row r="23" spans="1:18" ht="15.75" thickBot="1" x14ac:dyDescent="0.3">
      <c r="A23" s="141"/>
      <c r="B23" s="53" t="s">
        <v>16</v>
      </c>
      <c r="C23" s="54">
        <f>IFERROR(C21*365/C$13,"N/A")</f>
        <v>1.885629449570009</v>
      </c>
      <c r="D23" s="96">
        <f t="shared" ref="D23:R23" si="10">IFERROR(D21*365/D$13,"N/A")</f>
        <v>1.8675400495700087</v>
      </c>
      <c r="E23" s="55">
        <f t="shared" si="10"/>
        <v>1.8744568332856992</v>
      </c>
      <c r="F23" s="55">
        <f t="shared" si="10"/>
        <v>1.9297911030112265</v>
      </c>
      <c r="G23" s="55">
        <f t="shared" si="10"/>
        <v>1.895207184432772</v>
      </c>
      <c r="H23" s="55">
        <f t="shared" si="10"/>
        <v>1.671737966079613</v>
      </c>
      <c r="I23" s="55">
        <f t="shared" si="10"/>
        <v>1.8294738267735409</v>
      </c>
      <c r="J23" s="55">
        <f t="shared" si="10"/>
        <v>1.8950271599414374</v>
      </c>
      <c r="K23" s="55">
        <f t="shared" si="10"/>
        <v>1.8580153118330938</v>
      </c>
      <c r="L23" s="55">
        <f t="shared" si="10"/>
        <v>1.839605341484178</v>
      </c>
      <c r="M23" s="55">
        <f t="shared" si="10"/>
        <v>1.5648755291338379</v>
      </c>
      <c r="N23" s="55">
        <f t="shared" si="10"/>
        <v>1.2090323861484964</v>
      </c>
      <c r="O23" s="55">
        <f t="shared" si="10"/>
        <v>1.258992118138164</v>
      </c>
      <c r="P23" s="55">
        <f t="shared" si="10"/>
        <v>1.6292545816118975</v>
      </c>
      <c r="Q23" s="55">
        <f t="shared" si="10"/>
        <v>1.6781891449262851</v>
      </c>
      <c r="R23" s="56">
        <f t="shared" si="10"/>
        <v>1.3956482054048076</v>
      </c>
    </row>
    <row r="24" spans="1:18" ht="15.75" thickBot="1" x14ac:dyDescent="0.3"/>
    <row r="25" spans="1:18" ht="15.75" thickBot="1" x14ac:dyDescent="0.3">
      <c r="A25" s="139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40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40"/>
      <c r="B27" s="42" t="s">
        <v>35</v>
      </c>
      <c r="C27" s="43">
        <f t="shared" ref="C27:R27" si="12">C$8*(1-$C$25)</f>
        <v>0.19013869117179483</v>
      </c>
      <c r="D27" s="93">
        <f t="shared" si="12"/>
        <v>0.19013869117179483</v>
      </c>
      <c r="E27" s="44">
        <f t="shared" si="12"/>
        <v>0.19076414739275468</v>
      </c>
      <c r="F27" s="44">
        <f t="shared" si="12"/>
        <v>0.19576779716043352</v>
      </c>
      <c r="G27" s="44">
        <f t="shared" si="12"/>
        <v>0.19264051605563423</v>
      </c>
      <c r="H27" s="44">
        <f t="shared" si="12"/>
        <v>0.16261861744956138</v>
      </c>
      <c r="I27" s="44">
        <f t="shared" si="12"/>
        <v>0.23141880175514504</v>
      </c>
      <c r="J27" s="44">
        <f t="shared" si="12"/>
        <v>0.33461907821352055</v>
      </c>
      <c r="K27" s="44">
        <f t="shared" si="12"/>
        <v>0.34212455286503873</v>
      </c>
      <c r="L27" s="44">
        <f t="shared" si="12"/>
        <v>0.2939644238511302</v>
      </c>
      <c r="M27" s="44">
        <f t="shared" si="12"/>
        <v>0.39653924408854574</v>
      </c>
      <c r="N27" s="44">
        <f t="shared" si="12"/>
        <v>0.40279380629814443</v>
      </c>
      <c r="O27" s="44">
        <f t="shared" si="12"/>
        <v>0.40029198141430494</v>
      </c>
      <c r="P27" s="44">
        <f t="shared" si="12"/>
        <v>0.24142610129050265</v>
      </c>
      <c r="Q27" s="44">
        <f t="shared" si="12"/>
        <v>0.2939644238511302</v>
      </c>
      <c r="R27" s="45">
        <f t="shared" si="12"/>
        <v>0.56603787996866561</v>
      </c>
    </row>
    <row r="28" spans="1:18" x14ac:dyDescent="0.25">
      <c r="A28" s="140"/>
      <c r="B28" s="22" t="s">
        <v>17</v>
      </c>
      <c r="C28" s="50">
        <f t="shared" ref="C28:R28" si="13">C27-C$11</f>
        <v>-0.10722130882820513</v>
      </c>
      <c r="D28" s="94">
        <f t="shared" si="13"/>
        <v>-0.13200130882820515</v>
      </c>
      <c r="E28" s="51">
        <f t="shared" si="13"/>
        <v>-0.1313758526072453</v>
      </c>
      <c r="F28" s="51">
        <f t="shared" si="13"/>
        <v>-0.12637220283956646</v>
      </c>
      <c r="G28" s="51">
        <f t="shared" si="13"/>
        <v>-0.12949948394436575</v>
      </c>
      <c r="H28" s="51">
        <f t="shared" si="13"/>
        <v>-1.0841382550438594E-2</v>
      </c>
      <c r="I28" s="51">
        <f t="shared" si="13"/>
        <v>-1.6381198244854928E-2</v>
      </c>
      <c r="J28" s="51">
        <f t="shared" si="13"/>
        <v>-6.1860921786479395E-2</v>
      </c>
      <c r="K28" s="51">
        <f t="shared" si="13"/>
        <v>-4.7954471349612171E-3</v>
      </c>
      <c r="L28" s="51">
        <f t="shared" si="13"/>
        <v>-0.12729557614886977</v>
      </c>
      <c r="M28" s="51">
        <f t="shared" si="13"/>
        <v>-3.7110755911454296E-2</v>
      </c>
      <c r="N28" s="51">
        <f t="shared" si="13"/>
        <v>-6.8026193701855531E-2</v>
      </c>
      <c r="O28" s="51">
        <f t="shared" si="13"/>
        <v>-0.14486801858569504</v>
      </c>
      <c r="P28" s="51">
        <f t="shared" si="13"/>
        <v>-0.29134389870949728</v>
      </c>
      <c r="Q28" s="51">
        <f t="shared" si="13"/>
        <v>-0.25119557614886978</v>
      </c>
      <c r="R28" s="52">
        <f t="shared" si="13"/>
        <v>2.0877879968665636E-2</v>
      </c>
    </row>
    <row r="29" spans="1:18" x14ac:dyDescent="0.25">
      <c r="A29" s="140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>
        <f t="shared" si="14"/>
        <v>100584.92544031121</v>
      </c>
    </row>
    <row r="30" spans="1:18" ht="15.75" thickBot="1" x14ac:dyDescent="0.3">
      <c r="A30" s="141"/>
      <c r="B30" s="53" t="s">
        <v>16</v>
      </c>
      <c r="C30" s="54">
        <f>IFERROR(C28*365/C$13,"N/A")</f>
        <v>-7.8271555444589747E-2</v>
      </c>
      <c r="D30" s="96">
        <f t="shared" ref="D30:R30" si="15">IFERROR(D28*365/D$13,"N/A")</f>
        <v>-9.6360955444589766E-2</v>
      </c>
      <c r="E30" s="55">
        <f t="shared" si="15"/>
        <v>-9.590437240328907E-2</v>
      </c>
      <c r="F30" s="55">
        <f t="shared" si="15"/>
        <v>-9.225170807288352E-2</v>
      </c>
      <c r="G30" s="55">
        <f t="shared" si="15"/>
        <v>-9.4534623279386998E-2</v>
      </c>
      <c r="H30" s="55">
        <f t="shared" si="15"/>
        <v>-7.9142092618201734E-3</v>
      </c>
      <c r="I30" s="55">
        <f t="shared" si="15"/>
        <v>-9.1986728605723822E-3</v>
      </c>
      <c r="J30" s="55">
        <f t="shared" si="15"/>
        <v>-2.508804050229442E-2</v>
      </c>
      <c r="K30" s="55">
        <f t="shared" si="15"/>
        <v>-1.8424612676429938E-3</v>
      </c>
      <c r="L30" s="55">
        <f t="shared" si="15"/>
        <v>-5.8078606617921837E-2</v>
      </c>
      <c r="M30" s="55">
        <f t="shared" si="15"/>
        <v>-1.0419558390523706E-2</v>
      </c>
      <c r="N30" s="55">
        <f t="shared" si="15"/>
        <v>-1.4605623941868982E-2</v>
      </c>
      <c r="O30" s="55">
        <f t="shared" si="15"/>
        <v>-3.3048016739861678E-2</v>
      </c>
      <c r="P30" s="55">
        <f t="shared" si="15"/>
        <v>-0.15191503289852359</v>
      </c>
      <c r="Q30" s="55">
        <f t="shared" si="15"/>
        <v>-0.10786633564039702</v>
      </c>
      <c r="R30" s="56">
        <f t="shared" si="15"/>
        <v>3.62877437550617E-3</v>
      </c>
    </row>
    <row r="31" spans="1:18" ht="15.75" thickBot="1" x14ac:dyDescent="0.3"/>
    <row r="32" spans="1:18" ht="15.75" thickBot="1" x14ac:dyDescent="0.3">
      <c r="A32" s="139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40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40"/>
      <c r="B34" s="42" t="s">
        <v>35</v>
      </c>
      <c r="C34" s="43">
        <f t="shared" ref="C34:R34" si="17">C$8*(1-$C$32)</f>
        <v>1.111051388172535</v>
      </c>
      <c r="D34" s="93">
        <f t="shared" si="17"/>
        <v>1.111051388172535</v>
      </c>
      <c r="E34" s="44">
        <f t="shared" si="17"/>
        <v>1.1147061624757342</v>
      </c>
      <c r="F34" s="44">
        <f t="shared" si="17"/>
        <v>1.1439443569013275</v>
      </c>
      <c r="G34" s="44">
        <f t="shared" si="17"/>
        <v>1.1256704853853317</v>
      </c>
      <c r="H34" s="44">
        <f t="shared" si="17"/>
        <v>0.95024131883177343</v>
      </c>
      <c r="I34" s="44">
        <f t="shared" si="17"/>
        <v>1.3522664921836776</v>
      </c>
      <c r="J34" s="44">
        <f t="shared" si="17"/>
        <v>1.955304252211534</v>
      </c>
      <c r="K34" s="44">
        <f t="shared" si="17"/>
        <v>1.9991615438499235</v>
      </c>
      <c r="L34" s="44">
        <f t="shared" si="17"/>
        <v>1.7177439225035904</v>
      </c>
      <c r="M34" s="44">
        <f t="shared" si="17"/>
        <v>2.3171269082282473</v>
      </c>
      <c r="N34" s="44">
        <f t="shared" si="17"/>
        <v>2.3536746512602393</v>
      </c>
      <c r="O34" s="44">
        <f t="shared" si="17"/>
        <v>2.3390555540474423</v>
      </c>
      <c r="P34" s="44">
        <f t="shared" si="17"/>
        <v>1.4107428810348637</v>
      </c>
      <c r="Q34" s="44">
        <f t="shared" si="17"/>
        <v>1.7177439225035904</v>
      </c>
      <c r="R34" s="45">
        <f t="shared" si="17"/>
        <v>3.3075707443952118</v>
      </c>
    </row>
    <row r="35" spans="1:18" x14ac:dyDescent="0.25">
      <c r="A35" s="140"/>
      <c r="B35" s="22" t="s">
        <v>17</v>
      </c>
      <c r="C35" s="50">
        <f>C34-C$11</f>
        <v>0.81369138817253506</v>
      </c>
      <c r="D35" s="94">
        <f>D34-D$11</f>
        <v>0.78891138817253503</v>
      </c>
      <c r="E35" s="51">
        <f>E34-E$11</f>
        <v>0.79256616247573419</v>
      </c>
      <c r="F35" s="51">
        <f t="shared" ref="F35:Q35" si="18">F34-F$11</f>
        <v>0.82180435690132747</v>
      </c>
      <c r="G35" s="51">
        <f t="shared" si="18"/>
        <v>0.80353048538533167</v>
      </c>
      <c r="H35" s="51">
        <f t="shared" si="18"/>
        <v>0.77678131883177348</v>
      </c>
      <c r="I35" s="51">
        <f t="shared" si="18"/>
        <v>1.1044664921836775</v>
      </c>
      <c r="J35" s="51">
        <f t="shared" si="18"/>
        <v>1.5588242522115341</v>
      </c>
      <c r="K35" s="51">
        <f t="shared" si="18"/>
        <v>1.6522415438499236</v>
      </c>
      <c r="L35" s="51">
        <f t="shared" si="18"/>
        <v>1.2964839225035905</v>
      </c>
      <c r="M35" s="51">
        <f t="shared" si="18"/>
        <v>1.8834769082282472</v>
      </c>
      <c r="N35" s="51">
        <f t="shared" si="18"/>
        <v>1.8828546512602393</v>
      </c>
      <c r="O35" s="51">
        <f t="shared" si="18"/>
        <v>1.7938955540474422</v>
      </c>
      <c r="P35" s="51">
        <f t="shared" si="18"/>
        <v>0.87797288103486371</v>
      </c>
      <c r="Q35" s="51">
        <f t="shared" si="18"/>
        <v>1.1725839225035903</v>
      </c>
      <c r="R35" s="52">
        <f>R34-R$11</f>
        <v>2.7624107443952117</v>
      </c>
    </row>
    <row r="36" spans="1:18" x14ac:dyDescent="0.25">
      <c r="A36" s="140"/>
      <c r="B36" s="46" t="s">
        <v>15</v>
      </c>
      <c r="C36" s="47">
        <f>IF(C35&gt;0,C$13/C35,"N/A")</f>
        <v>614.48358341723042</v>
      </c>
      <c r="D36" s="95">
        <f>IF(D35&gt;0,D$13/D35,"N/A")</f>
        <v>633.78474122197599</v>
      </c>
      <c r="E36" s="48">
        <f>IF(E35&gt;0,E$13/E35,"N/A")</f>
        <v>630.86215848296251</v>
      </c>
      <c r="F36" s="48">
        <f t="shared" ref="F36:Q36" si="19">IF(F35&gt;0,F$13/F35,"N/A")</f>
        <v>608.41731465781709</v>
      </c>
      <c r="G36" s="48">
        <f t="shared" si="19"/>
        <v>622.25392700592545</v>
      </c>
      <c r="H36" s="48">
        <f t="shared" si="19"/>
        <v>643.681803202948</v>
      </c>
      <c r="I36" s="48">
        <f t="shared" si="19"/>
        <v>588.51943866116153</v>
      </c>
      <c r="J36" s="48">
        <f t="shared" si="19"/>
        <v>577.3582228549194</v>
      </c>
      <c r="K36" s="48">
        <f t="shared" si="19"/>
        <v>574.97646366304559</v>
      </c>
      <c r="L36" s="48">
        <f t="shared" si="19"/>
        <v>617.05354467886548</v>
      </c>
      <c r="M36" s="48">
        <f t="shared" si="19"/>
        <v>690.21286872207349</v>
      </c>
      <c r="N36" s="48">
        <f t="shared" si="19"/>
        <v>902.88435109005877</v>
      </c>
      <c r="O36" s="48">
        <f t="shared" si="19"/>
        <v>891.91368828025179</v>
      </c>
      <c r="P36" s="48">
        <f t="shared" si="19"/>
        <v>797.29114090051655</v>
      </c>
      <c r="Q36" s="48">
        <f t="shared" si="19"/>
        <v>724.89481024535996</v>
      </c>
      <c r="R36" s="49">
        <f>IF(R35&gt;0,R$13/R35,"N/A")</f>
        <v>760.2055575047234</v>
      </c>
    </row>
    <row r="37" spans="1:18" ht="15.75" thickBot="1" x14ac:dyDescent="0.3">
      <c r="A37" s="141"/>
      <c r="B37" s="53" t="s">
        <v>16</v>
      </c>
      <c r="C37" s="12">
        <f>IFERROR(C35*365/C$13,"N/A")</f>
        <v>0.59399471336595056</v>
      </c>
      <c r="D37" s="97">
        <f t="shared" ref="D37:R37" si="20">IFERROR(D35*365/D$13,"N/A")</f>
        <v>0.57590531336595052</v>
      </c>
      <c r="E37" s="13">
        <f t="shared" si="20"/>
        <v>0.57857329860728601</v>
      </c>
      <c r="F37" s="13">
        <f t="shared" si="20"/>
        <v>0.59991718053796905</v>
      </c>
      <c r="G37" s="13">
        <f t="shared" si="20"/>
        <v>0.58657725433129215</v>
      </c>
      <c r="H37" s="13">
        <f t="shared" si="20"/>
        <v>0.56705036274719467</v>
      </c>
      <c r="I37" s="13">
        <f t="shared" si="20"/>
        <v>0.6202004148416036</v>
      </c>
      <c r="J37" s="13">
        <f t="shared" si="20"/>
        <v>0.63218983561912223</v>
      </c>
      <c r="K37" s="13">
        <f t="shared" si="20"/>
        <v>0.63480859316339178</v>
      </c>
      <c r="L37" s="13">
        <f t="shared" si="20"/>
        <v>0.59152078964226318</v>
      </c>
      <c r="M37" s="13">
        <f t="shared" si="20"/>
        <v>0.52882236269485405</v>
      </c>
      <c r="N37" s="13">
        <f t="shared" si="20"/>
        <v>0.40425996924116903</v>
      </c>
      <c r="O37" s="13">
        <f t="shared" si="20"/>
        <v>0.40923242326707276</v>
      </c>
      <c r="P37" s="13">
        <f t="shared" si="20"/>
        <v>0.45780014511103606</v>
      </c>
      <c r="Q37" s="13">
        <f t="shared" si="20"/>
        <v>0.50352133142801236</v>
      </c>
      <c r="R37" s="14">
        <f t="shared" si="20"/>
        <v>0.48013329604964394</v>
      </c>
    </row>
    <row r="38" spans="1:18" x14ac:dyDescent="0.25"/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45"/>
  <sheetViews>
    <sheetView workbookViewId="0">
      <selection activeCell="B30" sqref="B30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61" t="s">
        <v>79</v>
      </c>
      <c r="B2" s="162"/>
      <c r="C2" s="163"/>
      <c r="E2" s="161" t="s">
        <v>80</v>
      </c>
      <c r="F2" s="163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>
        <v>44413</v>
      </c>
      <c r="F15" s="120">
        <v>297</v>
      </c>
    </row>
    <row r="16" spans="1:6" x14ac:dyDescent="0.25">
      <c r="A16" s="118">
        <v>44349</v>
      </c>
      <c r="B16" s="121" t="s">
        <v>96</v>
      </c>
      <c r="C16" s="120">
        <v>56.49</v>
      </c>
      <c r="E16" s="118">
        <v>44418</v>
      </c>
      <c r="F16" s="120">
        <v>311.55</v>
      </c>
    </row>
    <row r="17" spans="1:23" x14ac:dyDescent="0.25">
      <c r="A17" s="118">
        <v>44367</v>
      </c>
      <c r="B17" s="121" t="s">
        <v>97</v>
      </c>
      <c r="C17" s="120">
        <v>50</v>
      </c>
      <c r="E17" s="118">
        <v>44429</v>
      </c>
      <c r="F17" s="120">
        <v>308.89</v>
      </c>
    </row>
    <row r="18" spans="1:23" x14ac:dyDescent="0.25">
      <c r="A18" s="118">
        <v>44362</v>
      </c>
      <c r="B18" s="121" t="s">
        <v>98</v>
      </c>
      <c r="C18" s="120">
        <v>2.48</v>
      </c>
      <c r="E18" s="118"/>
      <c r="F18" s="120"/>
    </row>
    <row r="19" spans="1:23" x14ac:dyDescent="0.25">
      <c r="A19" s="118">
        <v>44366</v>
      </c>
      <c r="B19" s="121" t="s">
        <v>99</v>
      </c>
      <c r="C19" s="120">
        <v>1850</v>
      </c>
      <c r="E19" s="118"/>
      <c r="F19" s="120"/>
    </row>
    <row r="20" spans="1:23" x14ac:dyDescent="0.25">
      <c r="A20" s="118">
        <v>44368</v>
      </c>
      <c r="B20" s="121" t="s">
        <v>100</v>
      </c>
      <c r="C20" s="120">
        <v>20.95</v>
      </c>
      <c r="E20" s="118"/>
      <c r="F20" s="120"/>
    </row>
    <row r="21" spans="1:23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23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23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23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23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23" x14ac:dyDescent="0.25">
      <c r="A26" s="118">
        <v>44433</v>
      </c>
      <c r="B26" s="119" t="s">
        <v>116</v>
      </c>
      <c r="C26" s="120">
        <v>553.92999999999995</v>
      </c>
      <c r="D26" s="119"/>
      <c r="E26" s="118"/>
      <c r="F26" s="120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25">
      <c r="A27" s="118">
        <v>44433</v>
      </c>
      <c r="B27" s="119" t="s">
        <v>117</v>
      </c>
      <c r="C27" s="120">
        <v>98.27</v>
      </c>
      <c r="D27" s="119"/>
      <c r="E27" s="118"/>
      <c r="F27" s="120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25">
      <c r="A28" s="118">
        <v>44434</v>
      </c>
      <c r="B28" s="119" t="s">
        <v>118</v>
      </c>
      <c r="C28" s="120">
        <v>950</v>
      </c>
      <c r="D28" s="119"/>
      <c r="E28" s="118"/>
      <c r="F28" s="120"/>
    </row>
    <row r="29" spans="1:23" x14ac:dyDescent="0.25">
      <c r="A29" s="118">
        <v>44438</v>
      </c>
      <c r="B29" s="119" t="s">
        <v>119</v>
      </c>
      <c r="C29" s="120">
        <v>25.93</v>
      </c>
      <c r="D29" s="119"/>
      <c r="E29" s="118"/>
      <c r="F29" s="120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x14ac:dyDescent="0.25">
      <c r="A30" s="118"/>
      <c r="B30" s="119"/>
      <c r="C30" s="120"/>
      <c r="D30" s="119"/>
      <c r="E30" s="118"/>
      <c r="F30" s="120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1:23" x14ac:dyDescent="0.25">
      <c r="A31" s="118"/>
      <c r="B31" s="119"/>
      <c r="C31" s="120"/>
      <c r="D31" s="119"/>
      <c r="E31" s="118"/>
      <c r="F31" s="120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1:23" x14ac:dyDescent="0.25">
      <c r="A32" s="126"/>
      <c r="B32" s="127"/>
      <c r="C32" s="128"/>
      <c r="D32" s="127"/>
      <c r="E32" s="126"/>
      <c r="F32" s="128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6" x14ac:dyDescent="0.25">
      <c r="A33" s="109"/>
    </row>
    <row r="34" spans="1:6" x14ac:dyDescent="0.25">
      <c r="A34" s="109"/>
      <c r="B34" s="6" t="s">
        <v>94</v>
      </c>
      <c r="C34" s="110">
        <f>SUM(C4:C33)</f>
        <v>7033.08</v>
      </c>
      <c r="E34" s="6" t="s">
        <v>94</v>
      </c>
      <c r="F34" s="110">
        <f>SUM(F4:F33)</f>
        <v>5554.9000000000005</v>
      </c>
    </row>
    <row r="35" spans="1:6" x14ac:dyDescent="0.25">
      <c r="A35" s="109"/>
    </row>
    <row r="36" spans="1:6" x14ac:dyDescent="0.25">
      <c r="A36" s="109"/>
      <c r="B36" s="6" t="s">
        <v>108</v>
      </c>
      <c r="C36" s="110">
        <f>C34-F34</f>
        <v>1478.1799999999994</v>
      </c>
    </row>
    <row r="37" spans="1:6" x14ac:dyDescent="0.25"/>
    <row r="38" spans="1:6" x14ac:dyDescent="0.25"/>
    <row r="39" spans="1:6" x14ac:dyDescent="0.25"/>
    <row r="40" spans="1:6" x14ac:dyDescent="0.25"/>
    <row r="41" spans="1:6" x14ac:dyDescent="0.25"/>
    <row r="42" spans="1:6" x14ac:dyDescent="0.25"/>
    <row r="43" spans="1:6" x14ac:dyDescent="0.25"/>
    <row r="44" spans="1:6" x14ac:dyDescent="0.25"/>
    <row r="45" spans="1:6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2021-09-03T23:23:49Z</cp:lastPrinted>
  <dcterms:created xsi:type="dcterms:W3CDTF">2021-03-17T05:33:13Z</dcterms:created>
  <dcterms:modified xsi:type="dcterms:W3CDTF">2021-09-03T23:24:40Z</dcterms:modified>
</cp:coreProperties>
</file>