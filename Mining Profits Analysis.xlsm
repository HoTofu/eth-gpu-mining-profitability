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D5A32381-7C85-4FD4-8516-3ED044AE5501}" xr6:coauthVersionLast="47" xr6:coauthVersionMax="47" xr10:uidLastSave="{00000000-0000-0000-0000-000000000000}"/>
  <bookViews>
    <workbookView xWindow="-32280" yWindow="-3850" windowWidth="28800" windowHeight="15380" activeTab="2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9" l="1"/>
  <c r="C27" i="9"/>
  <c r="E13" i="7"/>
  <c r="D13" i="7"/>
  <c r="C13" i="7"/>
  <c r="L4" i="3"/>
  <c r="H5" i="3"/>
  <c r="H4" i="3"/>
  <c r="D4" i="3"/>
  <c r="L4" i="7"/>
  <c r="H5" i="7"/>
  <c r="L5" i="7" s="1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J14" i="7" l="1"/>
  <c r="L5" i="3"/>
  <c r="P4" i="3" s="1"/>
  <c r="K14" i="7"/>
  <c r="P4" i="7"/>
  <c r="C8" i="7" s="1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L8" i="7"/>
  <c r="K8" i="7"/>
  <c r="R8" i="7"/>
  <c r="Q8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21" i="3" l="1"/>
  <c r="G8" i="3"/>
  <c r="G23" i="3" s="1"/>
  <c r="D8" i="3"/>
  <c r="D12" i="3" s="1"/>
  <c r="D16" i="3" s="1"/>
  <c r="K8" i="3"/>
  <c r="K31" i="3" s="1"/>
  <c r="N8" i="3"/>
  <c r="N31" i="3" s="1"/>
  <c r="Q8" i="3"/>
  <c r="Q23" i="3" s="1"/>
  <c r="L8" i="3"/>
  <c r="L39" i="3" s="1"/>
  <c r="O8" i="3"/>
  <c r="O39" i="3" s="1"/>
  <c r="C8" i="3"/>
  <c r="C39" i="3" s="1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I8" i="7"/>
  <c r="I12" i="7" s="1"/>
  <c r="I16" i="7" s="1"/>
  <c r="P8" i="7"/>
  <c r="P12" i="7" s="1"/>
  <c r="P16" i="7" s="1"/>
  <c r="G8" i="7"/>
  <c r="F8" i="7"/>
  <c r="F34" i="7" s="1"/>
  <c r="F35" i="7" s="1"/>
  <c r="F37" i="7" s="1"/>
  <c r="M8" i="3"/>
  <c r="M23" i="3" s="1"/>
  <c r="R8" i="3"/>
  <c r="R23" i="3" s="1"/>
  <c r="I8" i="3"/>
  <c r="I39" i="3" s="1"/>
  <c r="J8" i="3"/>
  <c r="J23" i="3" s="1"/>
  <c r="H8" i="7"/>
  <c r="H27" i="7" s="1"/>
  <c r="H28" i="7" s="1"/>
  <c r="H30" i="7" s="1"/>
  <c r="O8" i="7"/>
  <c r="O12" i="7" s="1"/>
  <c r="O16" i="7" s="1"/>
  <c r="F8" i="3"/>
  <c r="F23" i="3" s="1"/>
  <c r="H8" i="3"/>
  <c r="H31" i="3" s="1"/>
  <c r="E8" i="3"/>
  <c r="E23" i="3" s="1"/>
  <c r="P8" i="3"/>
  <c r="P31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7" i="7"/>
  <c r="I28" i="7" s="1"/>
  <c r="I30" i="7" s="1"/>
  <c r="I34" i="7"/>
  <c r="I35" i="7" s="1"/>
  <c r="I37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P11" i="3"/>
  <c r="H11" i="3"/>
  <c r="K11" i="3"/>
  <c r="K12" i="3" s="1"/>
  <c r="K16" i="3" s="1"/>
  <c r="N11" i="3"/>
  <c r="J11" i="3"/>
  <c r="M11" i="3"/>
  <c r="E11" i="3"/>
  <c r="C11" i="3"/>
  <c r="O11" i="3"/>
  <c r="I11" i="3"/>
  <c r="G11" i="3"/>
  <c r="G12" i="3" s="1"/>
  <c r="G16" i="3" s="1"/>
  <c r="R11" i="3"/>
  <c r="F11" i="3"/>
  <c r="L11" i="3"/>
  <c r="G39" i="3"/>
  <c r="K39" i="3"/>
  <c r="K23" i="3"/>
  <c r="G31" i="3" l="1"/>
  <c r="O23" i="3"/>
  <c r="Q31" i="3"/>
  <c r="N23" i="3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J39" i="3"/>
  <c r="J40" i="3" s="1"/>
  <c r="N32" i="3"/>
  <c r="N34" i="3" s="1"/>
  <c r="M24" i="3"/>
  <c r="M25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I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N29" i="7"/>
  <c r="M15" i="7"/>
  <c r="E29" i="7"/>
  <c r="K36" i="7"/>
  <c r="D29" i="7"/>
  <c r="G15" i="7"/>
  <c r="E22" i="7"/>
  <c r="L22" i="7"/>
  <c r="J29" i="7"/>
  <c r="C22" i="7"/>
  <c r="N22" i="7"/>
  <c r="D15" i="7"/>
  <c r="L36" i="7"/>
  <c r="K15" i="7"/>
  <c r="D36" i="7"/>
  <c r="G22" i="7"/>
  <c r="L29" i="7"/>
  <c r="G32" i="3"/>
  <c r="G40" i="3"/>
  <c r="G42" i="3" s="1"/>
  <c r="G15" i="3"/>
  <c r="R12" i="3"/>
  <c r="R16" i="3" s="1"/>
  <c r="G24" i="3"/>
  <c r="G26" i="3" s="1"/>
  <c r="R24" i="3"/>
  <c r="R26" i="3" s="1"/>
  <c r="P32" i="3"/>
  <c r="P34" i="3" s="1"/>
  <c r="Q32" i="3"/>
  <c r="M40" i="3"/>
  <c r="M42" i="3" s="1"/>
  <c r="O24" i="3"/>
  <c r="Q24" i="3"/>
  <c r="Q12" i="3"/>
  <c r="Q16" i="3" s="1"/>
  <c r="P12" i="3"/>
  <c r="P16" i="3" s="1"/>
  <c r="N24" i="3"/>
  <c r="N12" i="3"/>
  <c r="N16" i="3" s="1"/>
  <c r="J24" i="3"/>
  <c r="O40" i="3"/>
  <c r="O42" i="3" s="1"/>
  <c r="H32" i="3"/>
  <c r="H34" i="3" s="1"/>
  <c r="I12" i="3"/>
  <c r="M12" i="3"/>
  <c r="K15" i="3"/>
  <c r="K40" i="3"/>
  <c r="K42" i="3" s="1"/>
  <c r="H24" i="3"/>
  <c r="L40" i="3"/>
  <c r="F12" i="3"/>
  <c r="O12" i="3"/>
  <c r="O16" i="3" s="1"/>
  <c r="K32" i="3"/>
  <c r="C12" i="3"/>
  <c r="C16" i="3" s="1"/>
  <c r="C40" i="3"/>
  <c r="C42" i="3" s="1"/>
  <c r="K24" i="3"/>
  <c r="E12" i="3"/>
  <c r="E16" i="3" s="1"/>
  <c r="E24" i="3"/>
  <c r="E26" i="3" s="1"/>
  <c r="D41" i="3" l="1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<sst xmlns="http://schemas.openxmlformats.org/spreadsheetml/2006/main" count="2289" uniqueCount="110">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</sst>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6" applyFon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44" fontId="0" fillId="0" borderId="0" xfId="6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N19" sqref="N19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7.85546875" customWidth="1"/>
    <col min="16" max="16" width="11.5703125" style="6" bestFit="1" customWidth="1"/>
    <col min="17" max="17" width="7.85546875" customWidth="1"/>
    <col min="18" max="19" width="7.85546875" style="6" customWidth="1"/>
    <col min="20" max="20" width="7.85546875" customWidth="1"/>
    <col min="21" max="22" width="7.85546875" style="6" customWidth="1"/>
    <col min="23" max="23" width="9.140625" customWidth="1"/>
  </cols>
  <sheetData>
    <row r="1" spans="1:23" s="6" customFormat="1" x14ac:dyDescent="0.25"/>
    <row r="2" spans="1:23" s="6" customFormat="1" x14ac:dyDescent="0.25">
      <c r="A2" s="81" t="s">
        <v>63</v>
      </c>
      <c r="B2" s="128">
        <v>44377</v>
      </c>
      <c r="C2" s="129"/>
    </row>
    <row r="3" spans="1:23" ht="15.75" thickBot="1" x14ac:dyDescent="0.3">
      <c r="D3" s="1"/>
      <c r="H3" s="1"/>
    </row>
    <row r="4" spans="1:23" ht="15.75" thickBot="1" x14ac:dyDescent="0.3">
      <c r="A4" s="134" t="s">
        <v>47</v>
      </c>
      <c r="B4" s="135"/>
      <c r="C4" s="58">
        <v>492.15100000000001</v>
      </c>
      <c r="D4" s="1"/>
      <c r="H4" s="1"/>
    </row>
    <row r="5" spans="1:23" ht="15.75" thickBot="1" x14ac:dyDescent="0.3">
      <c r="A5" s="130" t="s">
        <v>51</v>
      </c>
      <c r="B5" s="131"/>
      <c r="C5" s="57">
        <v>2646.07</v>
      </c>
    </row>
    <row r="6" spans="1:23" s="6" customFormat="1" ht="15.75" thickBot="1" x14ac:dyDescent="0.3">
      <c r="A6" s="130" t="s">
        <v>58</v>
      </c>
      <c r="B6" s="131"/>
      <c r="C6" s="57">
        <v>13353.81</v>
      </c>
    </row>
    <row r="7" spans="1:23" s="6" customFormat="1" ht="15.75" thickBot="1" x14ac:dyDescent="0.3">
      <c r="A7" s="132" t="s">
        <v>40</v>
      </c>
      <c r="B7" s="133"/>
      <c r="C7" s="58">
        <v>13.29</v>
      </c>
    </row>
    <row r="8" spans="1:23" s="6" customFormat="1" ht="15.75" thickBot="1" x14ac:dyDescent="0.3"/>
    <row r="9" spans="1:23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>
        <v>3060</v>
      </c>
      <c r="O9" s="100" t="s">
        <v>12</v>
      </c>
      <c r="P9" s="100" t="s">
        <v>105</v>
      </c>
      <c r="Q9" s="100">
        <v>3070</v>
      </c>
      <c r="R9" s="100" t="s">
        <v>106</v>
      </c>
      <c r="S9" s="100" t="s">
        <v>109</v>
      </c>
      <c r="T9" s="100">
        <v>3080</v>
      </c>
      <c r="U9" s="123" t="s">
        <v>107</v>
      </c>
      <c r="V9" s="123" t="s">
        <v>108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24"/>
      <c r="V10" s="12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5"/>
      <c r="V11" s="125">
        <v>240</v>
      </c>
      <c r="W11" s="63">
        <v>285</v>
      </c>
    </row>
    <row r="12" spans="1:23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6"/>
      <c r="V12" s="126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B29" sqref="B2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42" t="s">
        <v>80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</row>
    <row r="2" spans="1:30" s="6" customFormat="1" x14ac:dyDescent="0.25">
      <c r="A2" s="157" t="s">
        <v>45</v>
      </c>
      <c r="B2" s="157"/>
      <c r="C2" s="128">
        <f>'Card Data'!$B$2</f>
        <v>44377</v>
      </c>
      <c r="D2" s="129"/>
      <c r="E2"/>
      <c r="O2" s="156" t="s">
        <v>50</v>
      </c>
      <c r="P2" s="156"/>
      <c r="Q2" s="156"/>
      <c r="R2" s="156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6" t="s">
        <v>32</v>
      </c>
      <c r="B4" s="152" t="s">
        <v>57</v>
      </c>
      <c r="C4" s="153"/>
      <c r="D4" s="59">
        <f>'Electricity Calculations'!$F$5</f>
        <v>10.324999999999999</v>
      </c>
      <c r="E4" s="1"/>
      <c r="F4" s="152" t="s">
        <v>51</v>
      </c>
      <c r="G4" s="153"/>
      <c r="H4" s="57">
        <f>'Card Data'!$C$5</f>
        <v>2646.07</v>
      </c>
      <c r="I4" s="1"/>
      <c r="J4" s="152" t="s">
        <v>40</v>
      </c>
      <c r="K4" s="153"/>
      <c r="L4" s="58">
        <f>'Card Data'!$C$7</f>
        <v>13.29</v>
      </c>
      <c r="N4" s="134" t="s">
        <v>49</v>
      </c>
      <c r="O4" s="135"/>
      <c r="P4" s="154">
        <f>24*3600/$L$4*$L$5*$H$4/$D$5/10000</f>
        <v>7.1797306165587393</v>
      </c>
    </row>
    <row r="5" spans="1:30" s="6" customFormat="1" ht="15.75" thickBot="1" x14ac:dyDescent="0.3">
      <c r="A5" s="137"/>
      <c r="B5" s="152" t="s">
        <v>47</v>
      </c>
      <c r="C5" s="153"/>
      <c r="D5" s="58">
        <f>'Card Data'!$C$4</f>
        <v>492.15100000000001</v>
      </c>
      <c r="E5" s="1"/>
      <c r="F5" s="152" t="s">
        <v>58</v>
      </c>
      <c r="G5" s="153"/>
      <c r="H5" s="57">
        <f>'Card Data'!$C$6</f>
        <v>13353.81</v>
      </c>
      <c r="I5" s="1"/>
      <c r="J5" s="152" t="s">
        <v>39</v>
      </c>
      <c r="K5" s="153"/>
      <c r="L5" s="59">
        <f>$H$5/(24*3600/$L$4)</f>
        <v>2.0540756354166665</v>
      </c>
      <c r="N5" s="158"/>
      <c r="O5" s="159"/>
      <c r="P5" s="155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7"/>
      <c r="V6"/>
      <c r="W6"/>
      <c r="X6"/>
      <c r="Y6"/>
      <c r="Z6"/>
      <c r="AA6"/>
      <c r="AB6"/>
      <c r="AC6"/>
      <c r="AD6"/>
    </row>
    <row r="7" spans="1:30" ht="15.75" thickBot="1" x14ac:dyDescent="0.3">
      <c r="A7" s="137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7"/>
      <c r="B8" s="26" t="s">
        <v>52</v>
      </c>
      <c r="C8" s="61">
        <f t="shared" ref="C8:R8" si="0">$P$4*C9/100</f>
        <v>2.1539191849676218</v>
      </c>
      <c r="D8" s="83">
        <f t="shared" si="0"/>
        <v>2.2903340666822376</v>
      </c>
      <c r="E8" s="27">
        <f t="shared" si="0"/>
        <v>2.5847030219611464</v>
      </c>
      <c r="F8" s="27">
        <f t="shared" si="0"/>
        <v>3.3026760836170199</v>
      </c>
      <c r="G8" s="27">
        <f t="shared" si="0"/>
        <v>2.1539191849676218</v>
      </c>
      <c r="H8" s="27">
        <f t="shared" si="0"/>
        <v>2.2975137972987967</v>
      </c>
      <c r="I8" s="27">
        <f t="shared" si="0"/>
        <v>3.0334361854960674</v>
      </c>
      <c r="J8" s="27">
        <f t="shared" si="0"/>
        <v>3.159081471285845</v>
      </c>
      <c r="K8" s="27">
        <f t="shared" si="0"/>
        <v>3.0872841651202578</v>
      </c>
      <c r="L8" s="27">
        <f t="shared" si="0"/>
        <v>3.0872841651202578</v>
      </c>
      <c r="M8" s="27">
        <f t="shared" si="0"/>
        <v>3.0298463201877883</v>
      </c>
      <c r="N8" s="27">
        <f t="shared" si="0"/>
        <v>4.2504005250027737</v>
      </c>
      <c r="O8" s="27">
        <f t="shared" si="0"/>
        <v>4.3437370230180372</v>
      </c>
      <c r="P8" s="27">
        <f t="shared" si="0"/>
        <v>4.3480448613879723</v>
      </c>
      <c r="Q8" s="27">
        <f t="shared" si="0"/>
        <v>6.8925413918963896</v>
      </c>
      <c r="R8" s="28">
        <f t="shared" si="0"/>
        <v>8.6156767398704872</v>
      </c>
    </row>
    <row r="9" spans="1:30" x14ac:dyDescent="0.25">
      <c r="A9" s="137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7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7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7"/>
      <c r="B12" s="29" t="s">
        <v>53</v>
      </c>
      <c r="C12" s="33">
        <f t="shared" ref="C12:R12" si="2">C8-C11</f>
        <v>1.856559184967622</v>
      </c>
      <c r="D12" s="87">
        <f t="shared" ref="D12" si="3">D8-D11</f>
        <v>1.9558040666822376</v>
      </c>
      <c r="E12" s="34">
        <f t="shared" si="2"/>
        <v>2.2501730219611464</v>
      </c>
      <c r="F12" s="34">
        <f t="shared" si="2"/>
        <v>2.7079560836170202</v>
      </c>
      <c r="G12" s="34">
        <f t="shared" ref="G12" si="4">G8-G11</f>
        <v>1.9308991849676218</v>
      </c>
      <c r="H12" s="34">
        <f>H8-H11</f>
        <v>2.0744937972987967</v>
      </c>
      <c r="I12" s="34">
        <f t="shared" si="2"/>
        <v>2.7608561854960674</v>
      </c>
      <c r="J12" s="34">
        <f t="shared" si="2"/>
        <v>2.8617214712858452</v>
      </c>
      <c r="K12" s="34">
        <f t="shared" si="2"/>
        <v>2.7775341651202581</v>
      </c>
      <c r="L12" s="34">
        <f t="shared" si="2"/>
        <v>2.8196601651202577</v>
      </c>
      <c r="M12" s="34">
        <f t="shared" si="2"/>
        <v>2.6829263201877884</v>
      </c>
      <c r="N12" s="34">
        <f t="shared" si="2"/>
        <v>3.6804605250027738</v>
      </c>
      <c r="O12" s="34">
        <f t="shared" si="2"/>
        <v>4.0463770230180369</v>
      </c>
      <c r="P12" s="34">
        <f t="shared" si="2"/>
        <v>4.050684861387972</v>
      </c>
      <c r="Q12" s="34">
        <f t="shared" si="2"/>
        <v>6.2482613918963894</v>
      </c>
      <c r="R12" s="35">
        <f t="shared" si="2"/>
        <v>7.9094467398704875</v>
      </c>
    </row>
    <row r="13" spans="1:30" ht="17.25" x14ac:dyDescent="0.25">
      <c r="A13" s="137"/>
      <c r="B13" s="15" t="s">
        <v>54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7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37"/>
      <c r="B15" s="15" t="s">
        <v>55</v>
      </c>
      <c r="C15" s="39">
        <f t="shared" ref="C15:D15" si="6">C13/C12</f>
        <v>323.17849323530396</v>
      </c>
      <c r="D15" s="90">
        <f t="shared" si="6"/>
        <v>332.34412949280693</v>
      </c>
      <c r="E15" s="40">
        <f t="shared" ref="E15:R15" si="7">E13/E12</f>
        <v>311.08718892643753</v>
      </c>
      <c r="F15" s="40">
        <f t="shared" si="7"/>
        <v>350.81809699479464</v>
      </c>
      <c r="G15" s="40">
        <f t="shared" ref="G15" si="8">G13/G12</f>
        <v>258.94671451134525</v>
      </c>
      <c r="H15" s="40">
        <f t="shared" si="7"/>
        <v>385.63624583581878</v>
      </c>
      <c r="I15" s="40">
        <f t="shared" si="7"/>
        <v>344.0961557471727</v>
      </c>
      <c r="J15" s="40">
        <f t="shared" si="7"/>
        <v>349.44001714837549</v>
      </c>
      <c r="K15" s="40">
        <f t="shared" si="7"/>
        <v>360.03157496955697</v>
      </c>
      <c r="L15" s="40">
        <f t="shared" si="7"/>
        <v>354.65266785345045</v>
      </c>
      <c r="M15" s="40">
        <f t="shared" si="7"/>
        <v>372.72734345161075</v>
      </c>
      <c r="N15" s="40">
        <f t="shared" si="7"/>
        <v>326.04615423747703</v>
      </c>
      <c r="O15" s="40">
        <f t="shared" si="7"/>
        <v>296.56158908913687</v>
      </c>
      <c r="P15" s="40">
        <f t="shared" si="7"/>
        <v>320.93338397955586</v>
      </c>
      <c r="Q15" s="40">
        <f t="shared" si="7"/>
        <v>296.08236339141257</v>
      </c>
      <c r="R15" s="41">
        <f t="shared" si="7"/>
        <v>351.09914654352571</v>
      </c>
    </row>
    <row r="16" spans="1:30" ht="18" thickBot="1" x14ac:dyDescent="0.3">
      <c r="A16" s="137"/>
      <c r="B16" s="8" t="s">
        <v>41</v>
      </c>
      <c r="C16" s="36">
        <f>IFERROR(C12*365/C13,"N/A")</f>
        <v>1.1294068375219701</v>
      </c>
      <c r="D16" s="91">
        <f t="shared" ref="D16:R16" si="9">IFERROR(D12*365/D13,"N/A")</f>
        <v>1.0982592066754104</v>
      </c>
      <c r="E16" s="37">
        <f t="shared" si="9"/>
        <v>1.1733045043083121</v>
      </c>
      <c r="F16" s="37">
        <f t="shared" si="9"/>
        <v>1.0404252321265393</v>
      </c>
      <c r="G16" s="37">
        <f t="shared" si="9"/>
        <v>1.409556405026364</v>
      </c>
      <c r="H16" s="37">
        <f t="shared" si="9"/>
        <v>0.94648779501757607</v>
      </c>
      <c r="I16" s="37">
        <f t="shared" si="9"/>
        <v>1.060750008111647</v>
      </c>
      <c r="J16" s="37">
        <f t="shared" si="9"/>
        <v>1.0445283370193335</v>
      </c>
      <c r="K16" s="37">
        <f t="shared" si="9"/>
        <v>1.0137999702688942</v>
      </c>
      <c r="L16" s="37">
        <f t="shared" si="9"/>
        <v>1.0291759602688941</v>
      </c>
      <c r="M16" s="37">
        <f t="shared" si="9"/>
        <v>0.97926810686854271</v>
      </c>
      <c r="N16" s="37">
        <f t="shared" si="9"/>
        <v>1.1194734096883439</v>
      </c>
      <c r="O16" s="37">
        <f t="shared" si="9"/>
        <v>1.2307730111679864</v>
      </c>
      <c r="P16" s="37">
        <f t="shared" si="9"/>
        <v>1.1373076726204689</v>
      </c>
      <c r="Q16" s="37">
        <f t="shared" si="9"/>
        <v>1.2327650854282064</v>
      </c>
      <c r="R16" s="38">
        <f t="shared" si="9"/>
        <v>1.0395923874874786</v>
      </c>
    </row>
    <row r="17" spans="1:30" s="6" customFormat="1" x14ac:dyDescent="0.25">
      <c r="A17" s="137"/>
      <c r="B17" s="143" t="s">
        <v>42</v>
      </c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5"/>
      <c r="V17"/>
      <c r="W17"/>
      <c r="X17"/>
      <c r="Y17"/>
      <c r="Z17"/>
      <c r="AA17"/>
      <c r="AB17"/>
      <c r="AC17"/>
      <c r="AD17"/>
    </row>
    <row r="18" spans="1:30" ht="15.75" x14ac:dyDescent="0.25">
      <c r="A18" s="137"/>
      <c r="B18" s="146" t="s">
        <v>44</v>
      </c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8"/>
    </row>
    <row r="19" spans="1:30" ht="16.5" thickBot="1" x14ac:dyDescent="0.3">
      <c r="A19" s="138"/>
      <c r="B19" s="149" t="s">
        <v>43</v>
      </c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1"/>
    </row>
    <row r="20" spans="1:30" ht="15.75" thickBot="1" x14ac:dyDescent="0.3"/>
    <row r="21" spans="1:30" ht="15.75" thickBot="1" x14ac:dyDescent="0.3">
      <c r="A21" s="136" t="s">
        <v>18</v>
      </c>
      <c r="B21" s="108" t="s">
        <v>33</v>
      </c>
      <c r="C21" s="60">
        <f>1-2/$L$5</f>
        <v>2.6326019589681393E-2</v>
      </c>
      <c r="D21" s="92"/>
    </row>
    <row r="22" spans="1:30" ht="15.75" customHeight="1" thickBot="1" x14ac:dyDescent="0.3">
      <c r="A22" s="137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7"/>
      <c r="B23" s="42" t="s">
        <v>35</v>
      </c>
      <c r="C23" s="43">
        <f t="shared" ref="C23:R23" si="11">C$8*(1-$C$21)</f>
        <v>2.0972150663095737</v>
      </c>
      <c r="D23" s="93">
        <f t="shared" si="11"/>
        <v>2.2300386871758464</v>
      </c>
      <c r="E23" s="44">
        <f t="shared" si="11"/>
        <v>2.5166580795714886</v>
      </c>
      <c r="F23" s="44">
        <f t="shared" si="11"/>
        <v>3.2157297683413462</v>
      </c>
      <c r="G23" s="44">
        <f t="shared" si="11"/>
        <v>2.0972150663095737</v>
      </c>
      <c r="H23" s="44">
        <f t="shared" si="11"/>
        <v>2.2370294040635454</v>
      </c>
      <c r="I23" s="44">
        <f t="shared" si="11"/>
        <v>2.9535778850526495</v>
      </c>
      <c r="J23" s="44">
        <f t="shared" si="11"/>
        <v>3.0759154305873744</v>
      </c>
      <c r="K23" s="44">
        <f t="shared" si="11"/>
        <v>3.0060082617103889</v>
      </c>
      <c r="L23" s="44">
        <f t="shared" si="11"/>
        <v>3.0060082617103889</v>
      </c>
      <c r="M23" s="44">
        <f t="shared" si="11"/>
        <v>2.9500825266088007</v>
      </c>
      <c r="N23" s="44">
        <f t="shared" si="11"/>
        <v>4.1385043975175586</v>
      </c>
      <c r="O23" s="44">
        <f t="shared" si="11"/>
        <v>4.2293837170576403</v>
      </c>
      <c r="P23" s="44">
        <f t="shared" si="11"/>
        <v>4.2335781471902587</v>
      </c>
      <c r="Q23" s="44">
        <f t="shared" si="11"/>
        <v>6.711088212190635</v>
      </c>
      <c r="R23" s="45">
        <f t="shared" si="11"/>
        <v>8.3888602652382946</v>
      </c>
    </row>
    <row r="24" spans="1:30" x14ac:dyDescent="0.25">
      <c r="A24" s="137"/>
      <c r="B24" s="22" t="s">
        <v>17</v>
      </c>
      <c r="C24" s="50">
        <f t="shared" ref="C24:R24" si="12">C23-C$11</f>
        <v>1.7998550663095738</v>
      </c>
      <c r="D24" s="94">
        <f t="shared" ref="D24" si="13">D23-D$11</f>
        <v>1.8955086871758464</v>
      </c>
      <c r="E24" s="51">
        <f t="shared" si="12"/>
        <v>2.1821280795714886</v>
      </c>
      <c r="F24" s="51">
        <f t="shared" si="12"/>
        <v>2.621009768341346</v>
      </c>
      <c r="G24" s="51">
        <f t="shared" ref="G24" si="14">G23-G$11</f>
        <v>1.8741950663095737</v>
      </c>
      <c r="H24" s="51">
        <f t="shared" si="12"/>
        <v>2.0140094040635454</v>
      </c>
      <c r="I24" s="51">
        <f t="shared" si="12"/>
        <v>2.6809978850526495</v>
      </c>
      <c r="J24" s="51">
        <f t="shared" si="12"/>
        <v>2.7785554305873745</v>
      </c>
      <c r="K24" s="51">
        <f t="shared" si="12"/>
        <v>2.6962582617103887</v>
      </c>
      <c r="L24" s="51">
        <f t="shared" si="12"/>
        <v>2.7383842617103888</v>
      </c>
      <c r="M24" s="51">
        <f t="shared" si="12"/>
        <v>2.6031625266088008</v>
      </c>
      <c r="N24" s="51">
        <f t="shared" si="12"/>
        <v>3.5685643975175587</v>
      </c>
      <c r="O24" s="51">
        <f t="shared" si="12"/>
        <v>3.9320237170576404</v>
      </c>
      <c r="P24" s="51">
        <f t="shared" si="12"/>
        <v>3.9362181471902589</v>
      </c>
      <c r="Q24" s="51">
        <f t="shared" si="12"/>
        <v>6.0668082121906348</v>
      </c>
      <c r="R24" s="52">
        <f t="shared" si="12"/>
        <v>7.682630265238295</v>
      </c>
    </row>
    <row r="25" spans="1:30" x14ac:dyDescent="0.25">
      <c r="A25" s="137"/>
      <c r="B25" s="46" t="s">
        <v>15</v>
      </c>
      <c r="C25" s="47">
        <f t="shared" ref="C25:R25" si="15">IF(C24&gt;0,C$13/C24,"N/A")</f>
        <v>333.36017506689643</v>
      </c>
      <c r="D25" s="95">
        <f t="shared" ref="D25" si="16">IF(D24&gt;0,D$13/D24,"N/A")</f>
        <v>342.91586443132957</v>
      </c>
      <c r="E25" s="48">
        <f t="shared" si="15"/>
        <v>320.78776977081071</v>
      </c>
      <c r="F25" s="48">
        <f t="shared" si="15"/>
        <v>362.45572659623798</v>
      </c>
      <c r="G25" s="48">
        <f t="shared" ref="G25" si="17">IF(G24&gt;0,G$13/G24,"N/A")</f>
        <v>266.78119529176672</v>
      </c>
      <c r="H25" s="48">
        <f t="shared" si="15"/>
        <v>397.21760900713184</v>
      </c>
      <c r="I25" s="48">
        <f t="shared" si="15"/>
        <v>354.34567304082145</v>
      </c>
      <c r="J25" s="48">
        <f t="shared" si="15"/>
        <v>359.8992444029106</v>
      </c>
      <c r="K25" s="48">
        <f t="shared" si="15"/>
        <v>370.88435266050647</v>
      </c>
      <c r="L25" s="48">
        <f t="shared" si="15"/>
        <v>365.17884432165198</v>
      </c>
      <c r="M25" s="48">
        <f t="shared" si="15"/>
        <v>384.14812359131599</v>
      </c>
      <c r="N25" s="48">
        <f t="shared" si="15"/>
        <v>336.26967775466505</v>
      </c>
      <c r="O25" s="48">
        <f t="shared" si="15"/>
        <v>305.18635856499054</v>
      </c>
      <c r="P25" s="48">
        <f t="shared" si="15"/>
        <v>330.26624830942427</v>
      </c>
      <c r="Q25" s="48">
        <f t="shared" si="15"/>
        <v>304.93794023068222</v>
      </c>
      <c r="R25" s="49">
        <f t="shared" si="15"/>
        <v>361.46474633370434</v>
      </c>
    </row>
    <row r="26" spans="1:30" ht="15.75" thickBot="1" x14ac:dyDescent="0.3">
      <c r="A26" s="137"/>
      <c r="B26" s="53" t="s">
        <v>16</v>
      </c>
      <c r="C26" s="54">
        <f>IFERROR(C24*365/C$13,"N/A")</f>
        <v>1.0949118320049906</v>
      </c>
      <c r="D26" s="96">
        <f t="shared" ref="D26:R26" si="18">IFERROR(D24*365/D$13,"N/A")</f>
        <v>1.0644010320295139</v>
      </c>
      <c r="E26" s="55">
        <f t="shared" si="18"/>
        <v>1.1378239272051334</v>
      </c>
      <c r="F26" s="55">
        <f t="shared" si="18"/>
        <v>1.007019542573254</v>
      </c>
      <c r="G26" s="55">
        <f t="shared" si="18"/>
        <v>1.3681623984059887</v>
      </c>
      <c r="H26" s="55">
        <f t="shared" si="18"/>
        <v>0.91889179060399262</v>
      </c>
      <c r="I26" s="55">
        <f t="shared" si="18"/>
        <v>1.030067608467597</v>
      </c>
      <c r="J26" s="55">
        <f t="shared" si="18"/>
        <v>1.0141727321643916</v>
      </c>
      <c r="K26" s="55">
        <f t="shared" si="18"/>
        <v>0.98413426552429184</v>
      </c>
      <c r="L26" s="55">
        <f t="shared" si="18"/>
        <v>0.99951025552429185</v>
      </c>
      <c r="M26" s="55">
        <f t="shared" si="18"/>
        <v>0.9501543222122123</v>
      </c>
      <c r="N26" s="55">
        <f t="shared" si="18"/>
        <v>1.0854383375782575</v>
      </c>
      <c r="O26" s="55">
        <f t="shared" si="18"/>
        <v>1.195990547271699</v>
      </c>
      <c r="P26" s="55">
        <f t="shared" si="18"/>
        <v>1.1051689413264958</v>
      </c>
      <c r="Q26" s="55">
        <f t="shared" si="18"/>
        <v>1.1969648634862602</v>
      </c>
      <c r="R26" s="56">
        <f t="shared" si="18"/>
        <v>1.0097803553518105</v>
      </c>
    </row>
    <row r="27" spans="1:30" ht="108.75" customHeight="1" thickBot="1" x14ac:dyDescent="0.3">
      <c r="A27" s="138"/>
      <c r="B27" s="139" t="s">
        <v>38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1"/>
    </row>
    <row r="28" spans="1:30" ht="15.75" thickBot="1" x14ac:dyDescent="0.3"/>
    <row r="29" spans="1:30" ht="15.75" thickBot="1" x14ac:dyDescent="0.3">
      <c r="A29" s="136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7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7"/>
      <c r="B31" s="42" t="s">
        <v>35</v>
      </c>
      <c r="C31" s="43">
        <f t="shared" ref="C31:R31" si="20">C$8*(1-$C$29)</f>
        <v>0.12724220096250019</v>
      </c>
      <c r="D31" s="93">
        <f t="shared" si="20"/>
        <v>0.1353008736901252</v>
      </c>
      <c r="E31" s="44">
        <f t="shared" si="20"/>
        <v>0.15269064115500025</v>
      </c>
      <c r="F31" s="44">
        <f t="shared" si="20"/>
        <v>0.19510470814250028</v>
      </c>
      <c r="G31" s="44">
        <f t="shared" si="20"/>
        <v>0.12724220096250019</v>
      </c>
      <c r="H31" s="44">
        <f t="shared" si="20"/>
        <v>0.1357250143600002</v>
      </c>
      <c r="I31" s="44">
        <f t="shared" si="20"/>
        <v>0.17919943302218777</v>
      </c>
      <c r="J31" s="44">
        <f t="shared" si="20"/>
        <v>0.18662189474500027</v>
      </c>
      <c r="K31" s="44">
        <f t="shared" si="20"/>
        <v>0.18238048804625026</v>
      </c>
      <c r="L31" s="44">
        <f t="shared" si="20"/>
        <v>0.18238048804625026</v>
      </c>
      <c r="M31" s="44">
        <f t="shared" si="20"/>
        <v>0.1789873626872503</v>
      </c>
      <c r="N31" s="44">
        <f t="shared" si="20"/>
        <v>0.25109127656600039</v>
      </c>
      <c r="O31" s="44">
        <f t="shared" si="20"/>
        <v>0.25660510527437541</v>
      </c>
      <c r="P31" s="44">
        <f t="shared" si="20"/>
        <v>0.2568595896763004</v>
      </c>
      <c r="Q31" s="44">
        <f t="shared" si="20"/>
        <v>0.40717504308000063</v>
      </c>
      <c r="R31" s="45">
        <f t="shared" si="20"/>
        <v>0.50896880385000076</v>
      </c>
    </row>
    <row r="32" spans="1:30" x14ac:dyDescent="0.25">
      <c r="A32" s="137"/>
      <c r="B32" s="22" t="s">
        <v>17</v>
      </c>
      <c r="C32" s="50">
        <f t="shared" ref="C32:R32" si="21">C31-C$11</f>
        <v>-0.17011779903749977</v>
      </c>
      <c r="D32" s="94">
        <f t="shared" ref="D32" si="22">D31-D$11</f>
        <v>-0.19922912630987485</v>
      </c>
      <c r="E32" s="51">
        <f t="shared" si="21"/>
        <v>-0.1818393588449998</v>
      </c>
      <c r="F32" s="51">
        <f t="shared" si="21"/>
        <v>-0.39961529185749967</v>
      </c>
      <c r="G32" s="51">
        <f t="shared" ref="G32" si="23">G31-G$11</f>
        <v>-9.5777799037499806E-2</v>
      </c>
      <c r="H32" s="51">
        <f t="shared" si="21"/>
        <v>-8.7294985639999795E-2</v>
      </c>
      <c r="I32" s="51">
        <f t="shared" si="21"/>
        <v>-9.3380566977812218E-2</v>
      </c>
      <c r="J32" s="51">
        <f t="shared" si="21"/>
        <v>-0.11073810525499969</v>
      </c>
      <c r="K32" s="51">
        <f t="shared" si="21"/>
        <v>-0.12736951195374971</v>
      </c>
      <c r="L32" s="51">
        <f t="shared" si="21"/>
        <v>-8.5243511953749712E-2</v>
      </c>
      <c r="M32" s="51">
        <f t="shared" si="21"/>
        <v>-0.16793263731274966</v>
      </c>
      <c r="N32" s="51">
        <f t="shared" si="21"/>
        <v>-0.3188487234339995</v>
      </c>
      <c r="O32" s="51">
        <f t="shared" si="21"/>
        <v>-4.0754894725624546E-2</v>
      </c>
      <c r="P32" s="51">
        <f t="shared" si="21"/>
        <v>-4.0500410323699554E-2</v>
      </c>
      <c r="Q32" s="51">
        <f t="shared" si="21"/>
        <v>-0.23710495691999933</v>
      </c>
      <c r="R32" s="52">
        <f t="shared" si="21"/>
        <v>-0.19726119614999915</v>
      </c>
    </row>
    <row r="33" spans="1:18" x14ac:dyDescent="0.25">
      <c r="A33" s="137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7"/>
      <c r="B34" s="53" t="s">
        <v>16</v>
      </c>
      <c r="C34" s="54">
        <f>IFERROR(C32*365/C$13,"N/A")</f>
        <v>-0.10348832774781236</v>
      </c>
      <c r="D34" s="96">
        <f t="shared" ref="D34:R34" si="27">IFERROR(D32*365/D$13,"N/A")</f>
        <v>-0.11187481708169897</v>
      </c>
      <c r="E34" s="55">
        <f t="shared" si="27"/>
        <v>-9.4816237112035615E-2</v>
      </c>
      <c r="F34" s="55">
        <f t="shared" si="27"/>
        <v>-0.15353640160840779</v>
      </c>
      <c r="G34" s="55">
        <f t="shared" si="27"/>
        <v>-6.9917793297374853E-2</v>
      </c>
      <c r="H34" s="55">
        <f t="shared" si="27"/>
        <v>-3.9828337198249908E-2</v>
      </c>
      <c r="I34" s="55">
        <f t="shared" si="27"/>
        <v>-3.5877796786212057E-2</v>
      </c>
      <c r="J34" s="55">
        <f t="shared" si="27"/>
        <v>-4.0419408418074884E-2</v>
      </c>
      <c r="K34" s="55">
        <f t="shared" si="27"/>
        <v>-4.6489871863118641E-2</v>
      </c>
      <c r="L34" s="55">
        <f t="shared" si="27"/>
        <v>-3.1113881863118645E-2</v>
      </c>
      <c r="M34" s="55">
        <f t="shared" si="27"/>
        <v>-6.1295412619153625E-2</v>
      </c>
      <c r="N34" s="55">
        <f t="shared" si="27"/>
        <v>-9.6983153377841524E-2</v>
      </c>
      <c r="O34" s="55">
        <f t="shared" si="27"/>
        <v>-1.2396280479044133E-2</v>
      </c>
      <c r="P34" s="55">
        <f t="shared" si="27"/>
        <v>-1.1371269052423336E-2</v>
      </c>
      <c r="Q34" s="55">
        <f t="shared" si="27"/>
        <v>-4.678016717610798E-2</v>
      </c>
      <c r="R34" s="56">
        <f t="shared" si="27"/>
        <v>-2.59273808407453E-2</v>
      </c>
    </row>
    <row r="35" spans="1:18" ht="80.25" customHeight="1" thickBot="1" x14ac:dyDescent="0.3">
      <c r="A35" s="138"/>
      <c r="B35" s="139" t="s">
        <v>48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1"/>
    </row>
    <row r="36" spans="1:18" ht="15.75" thickBot="1" x14ac:dyDescent="0.3"/>
    <row r="37" spans="1:18" ht="15.75" thickBot="1" x14ac:dyDescent="0.3">
      <c r="A37" s="136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7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7"/>
      <c r="B39" s="42" t="s">
        <v>35</v>
      </c>
      <c r="C39" s="43">
        <f t="shared" ref="C39:R39" si="29">C$8*(1-$C$37)</f>
        <v>0.74352370441942817</v>
      </c>
      <c r="D39" s="93">
        <f t="shared" si="29"/>
        <v>0.79061353903265852</v>
      </c>
      <c r="E39" s="44">
        <f t="shared" si="29"/>
        <v>0.89222844530331391</v>
      </c>
      <c r="F39" s="44">
        <f t="shared" si="29"/>
        <v>1.1400696801097898</v>
      </c>
      <c r="G39" s="44">
        <f t="shared" si="29"/>
        <v>0.74352370441942817</v>
      </c>
      <c r="H39" s="44">
        <f t="shared" si="29"/>
        <v>0.79309195138072341</v>
      </c>
      <c r="I39" s="44">
        <f t="shared" si="29"/>
        <v>1.0471292170573614</v>
      </c>
      <c r="J39" s="44">
        <f t="shared" si="29"/>
        <v>1.0905014331484946</v>
      </c>
      <c r="K39" s="44">
        <f t="shared" si="29"/>
        <v>1.0657173096678469</v>
      </c>
      <c r="L39" s="44">
        <f t="shared" si="29"/>
        <v>1.0657173096678469</v>
      </c>
      <c r="M39" s="44">
        <f t="shared" si="29"/>
        <v>1.0458900108833291</v>
      </c>
      <c r="N39" s="44">
        <f t="shared" si="29"/>
        <v>1.4672201100543383</v>
      </c>
      <c r="O39" s="44">
        <f t="shared" si="29"/>
        <v>1.49943947057918</v>
      </c>
      <c r="P39" s="44">
        <f t="shared" si="29"/>
        <v>1.5009265179880189</v>
      </c>
      <c r="Q39" s="44">
        <f t="shared" si="29"/>
        <v>2.3792758541421701</v>
      </c>
      <c r="R39" s="45">
        <f t="shared" si="29"/>
        <v>2.9740948176777127</v>
      </c>
    </row>
    <row r="40" spans="1:18" x14ac:dyDescent="0.25">
      <c r="A40" s="137"/>
      <c r="B40" s="22" t="s">
        <v>17</v>
      </c>
      <c r="C40" s="50">
        <f>C39-C$11</f>
        <v>0.44616370441942821</v>
      </c>
      <c r="D40" s="94">
        <f>D39-D$11</f>
        <v>0.45608353903265847</v>
      </c>
      <c r="E40" s="51">
        <f>E39-E$11</f>
        <v>0.55769844530331381</v>
      </c>
      <c r="F40" s="51">
        <f t="shared" ref="F40:G40" si="30">F39-F$11</f>
        <v>0.5453496801097899</v>
      </c>
      <c r="G40" s="51">
        <f t="shared" si="30"/>
        <v>0.52050370441942817</v>
      </c>
      <c r="H40" s="51">
        <f t="shared" ref="H40" si="31">H39-H$11</f>
        <v>0.57007195138072342</v>
      </c>
      <c r="I40" s="51">
        <f t="shared" ref="I40" si="32">I39-I$11</f>
        <v>0.77454921705736135</v>
      </c>
      <c r="J40" s="51">
        <f t="shared" ref="J40" si="33">J39-J$11</f>
        <v>0.79314143314849461</v>
      </c>
      <c r="K40" s="51">
        <f t="shared" ref="K40" si="34">K39-K$11</f>
        <v>0.75596730966784698</v>
      </c>
      <c r="L40" s="51">
        <f t="shared" ref="L40" si="35">L39-L$11</f>
        <v>0.79809330966784697</v>
      </c>
      <c r="M40" s="51">
        <f t="shared" ref="M40" si="36">M39-M$11</f>
        <v>0.69897001088332922</v>
      </c>
      <c r="N40" s="51">
        <f t="shared" ref="N40" si="37">N39-N$11</f>
        <v>0.89728011005433839</v>
      </c>
      <c r="O40" s="51">
        <f t="shared" ref="O40" si="38">O39-O$11</f>
        <v>1.20207947057918</v>
      </c>
      <c r="P40" s="51">
        <f t="shared" ref="P40" si="39">P39-P$11</f>
        <v>1.2035665179880191</v>
      </c>
      <c r="Q40" s="51">
        <f t="shared" ref="Q40" si="40">Q39-Q$11</f>
        <v>1.7349958541421702</v>
      </c>
      <c r="R40" s="52">
        <f>R39-R$11</f>
        <v>2.2678648176777125</v>
      </c>
    </row>
    <row r="41" spans="1:18" x14ac:dyDescent="0.25">
      <c r="A41" s="137"/>
      <c r="B41" s="46" t="s">
        <v>15</v>
      </c>
      <c r="C41" s="47">
        <f>IF(C40&gt;0,C$13/C40,"N/A")</f>
        <v>1344.7978714018248</v>
      </c>
      <c r="D41" s="95">
        <f>IF(D40&gt;0,D$13/D40,"N/A")</f>
        <v>1425.177504495412</v>
      </c>
      <c r="E41" s="48">
        <f>IF(E40&gt;0,E$13/E40,"N/A")</f>
        <v>1255.1586003064667</v>
      </c>
      <c r="F41" s="48">
        <f t="shared" ref="F41:G41" si="41">IF(F40&gt;0,F$13/F40,"N/A")</f>
        <v>1742.0015719249084</v>
      </c>
      <c r="G41" s="48">
        <f t="shared" si="41"/>
        <v>960.60795678236707</v>
      </c>
      <c r="H41" s="48">
        <f t="shared" ref="H41" si="42">IF(H40&gt;0,H$13/H40,"N/A")</f>
        <v>1403.3316286871984</v>
      </c>
      <c r="I41" s="48">
        <f t="shared" ref="I41" si="43">IF(I40&gt;0,I$13/I40,"N/A")</f>
        <v>1226.5198635268198</v>
      </c>
      <c r="J41" s="48">
        <f t="shared" ref="J41" si="44">IF(J40&gt;0,J$13/J40,"N/A")</f>
        <v>1260.8091800605462</v>
      </c>
      <c r="K41" s="48">
        <f t="shared" ref="K41" si="45">IF(K40&gt;0,K$13/K40,"N/A")</f>
        <v>1322.8085225528798</v>
      </c>
      <c r="L41" s="48">
        <f t="shared" ref="L41" si="46">IF(L40&gt;0,L$13/L40,"N/A")</f>
        <v>1252.9863211310255</v>
      </c>
      <c r="M41" s="48">
        <f t="shared" ref="M41" si="47">IF(M40&gt;0,M$13/M40,"N/A")</f>
        <v>1430.6765446721263</v>
      </c>
      <c r="N41" s="48">
        <f t="shared" ref="N41" si="48">IF(N40&gt;0,N$13/N40,"N/A")</f>
        <v>1337.3750142832534</v>
      </c>
      <c r="O41" s="48">
        <f t="shared" ref="O41" si="49">IF(O40&gt;0,O$13/O40,"N/A")</f>
        <v>998.2701055711583</v>
      </c>
      <c r="P41" s="48">
        <f t="shared" ref="P41" si="50">IF(P40&gt;0,P$13/P40,"N/A")</f>
        <v>1080.1231012750231</v>
      </c>
      <c r="Q41" s="48">
        <f t="shared" ref="Q41" si="51">IF(Q40&gt;0,Q$13/Q40,"N/A")</f>
        <v>1066.2849686835079</v>
      </c>
      <c r="R41" s="49">
        <f>IF(R40&gt;0,R$13/R40,"N/A")</f>
        <v>1224.4997930889199</v>
      </c>
    </row>
    <row r="42" spans="1:18" ht="15.75" thickBot="1" x14ac:dyDescent="0.3">
      <c r="A42" s="137"/>
      <c r="B42" s="53" t="s">
        <v>16</v>
      </c>
      <c r="C42" s="12">
        <f>IFERROR(C40*365/C$13,"N/A")</f>
        <v>0.27141625352181881</v>
      </c>
      <c r="D42" s="97">
        <f t="shared" ref="D42:R42" si="52">IFERROR(D40*365/D$13,"N/A")</f>
        <v>0.25610844884141593</v>
      </c>
      <c r="E42" s="13">
        <f t="shared" si="52"/>
        <v>0.29079990362244224</v>
      </c>
      <c r="F42" s="13">
        <f t="shared" si="52"/>
        <v>0.20952908762112979</v>
      </c>
      <c r="G42" s="13">
        <f t="shared" si="52"/>
        <v>0.37996770422618253</v>
      </c>
      <c r="H42" s="13">
        <f t="shared" si="52"/>
        <v>0.26009532781745504</v>
      </c>
      <c r="I42" s="13">
        <f t="shared" si="52"/>
        <v>0.29758996234309149</v>
      </c>
      <c r="J42" s="13">
        <f t="shared" si="52"/>
        <v>0.28949662309920055</v>
      </c>
      <c r="K42" s="13">
        <f t="shared" si="52"/>
        <v>0.27592806802876413</v>
      </c>
      <c r="L42" s="13">
        <f t="shared" si="52"/>
        <v>0.29130405802876413</v>
      </c>
      <c r="M42" s="13">
        <f t="shared" si="52"/>
        <v>0.25512405397241517</v>
      </c>
      <c r="N42" s="13">
        <f t="shared" si="52"/>
        <v>0.27292270014152792</v>
      </c>
      <c r="O42" s="13">
        <f t="shared" si="52"/>
        <v>0.36563250563450062</v>
      </c>
      <c r="P42" s="13">
        <f t="shared" si="52"/>
        <v>0.33792444543509764</v>
      </c>
      <c r="Q42" s="13">
        <f t="shared" si="52"/>
        <v>0.342309992844266</v>
      </c>
      <c r="R42" s="14">
        <f t="shared" si="52"/>
        <v>0.29808089969476598</v>
      </c>
    </row>
    <row r="43" spans="1:18" ht="74.25" customHeight="1" thickBot="1" x14ac:dyDescent="0.3">
      <c r="A43" s="138"/>
      <c r="B43" s="139" t="s">
        <v>37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1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tabSelected="1" zoomScaleNormal="100" zoomScaleSheetLayoutView="115" workbookViewId="0">
      <selection activeCell="I13" sqref="I13:O13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42" t="s">
        <v>77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</row>
    <row r="2" spans="1:20" x14ac:dyDescent="0.25">
      <c r="A2" s="157" t="s">
        <v>45</v>
      </c>
      <c r="B2" s="157"/>
      <c r="C2" s="128">
        <f>'Card Data'!$B$2</f>
        <v>44377</v>
      </c>
      <c r="D2" s="129"/>
      <c r="O2" s="156" t="s">
        <v>50</v>
      </c>
      <c r="P2" s="156"/>
      <c r="Q2" s="156"/>
      <c r="R2" s="156"/>
    </row>
    <row r="3" spans="1:20" ht="15.75" thickBot="1" x14ac:dyDescent="0.3"/>
    <row r="4" spans="1:20" ht="15.75" thickBot="1" x14ac:dyDescent="0.3">
      <c r="A4" s="136" t="s">
        <v>32</v>
      </c>
      <c r="B4" s="152" t="s">
        <v>57</v>
      </c>
      <c r="C4" s="153"/>
      <c r="D4" s="59">
        <f>'Electricity Calculations'!$F$5</f>
        <v>10.324999999999999</v>
      </c>
      <c r="E4" s="1"/>
      <c r="F4" s="152" t="s">
        <v>51</v>
      </c>
      <c r="G4" s="153"/>
      <c r="H4" s="57">
        <f>'Card Data'!$C$5</f>
        <v>2646.07</v>
      </c>
      <c r="I4" s="1"/>
      <c r="J4" s="152" t="s">
        <v>40</v>
      </c>
      <c r="K4" s="153"/>
      <c r="L4" s="58">
        <f>'Card Data'!$C$7</f>
        <v>13.29</v>
      </c>
      <c r="N4" s="134" t="s">
        <v>49</v>
      </c>
      <c r="O4" s="135"/>
      <c r="P4" s="154">
        <f>24*3600/$L$4*$L$5*$H$4/$D$5/10000</f>
        <v>7.1797306165587393</v>
      </c>
    </row>
    <row r="5" spans="1:20" ht="15.75" thickBot="1" x14ac:dyDescent="0.3">
      <c r="A5" s="137"/>
      <c r="B5" s="152" t="s">
        <v>47</v>
      </c>
      <c r="C5" s="153"/>
      <c r="D5" s="58">
        <f>'Card Data'!$C$4</f>
        <v>492.15100000000001</v>
      </c>
      <c r="E5" s="1"/>
      <c r="F5" s="152" t="s">
        <v>58</v>
      </c>
      <c r="G5" s="153"/>
      <c r="H5" s="57">
        <f>'Card Data'!$C$6</f>
        <v>13353.81</v>
      </c>
      <c r="I5" s="1"/>
      <c r="J5" s="152" t="s">
        <v>39</v>
      </c>
      <c r="K5" s="153"/>
      <c r="L5" s="59">
        <f>$H$5/(24*3600/$L$4)</f>
        <v>2.0540756354166665</v>
      </c>
      <c r="N5" s="158"/>
      <c r="O5" s="159"/>
      <c r="P5" s="155"/>
    </row>
    <row r="6" spans="1:20" ht="15.75" thickBot="1" x14ac:dyDescent="0.3">
      <c r="A6" s="137"/>
    </row>
    <row r="7" spans="1:20" ht="15.75" thickBot="1" x14ac:dyDescent="0.3">
      <c r="A7" s="137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37"/>
      <c r="B8" s="26" t="s">
        <v>52</v>
      </c>
      <c r="C8" s="61">
        <f t="shared" ref="C8:R8" si="0">$P$4*C9/100</f>
        <v>2.1826381074338568</v>
      </c>
      <c r="D8" s="83">
        <f t="shared" si="0"/>
        <v>2.1826381074338568</v>
      </c>
      <c r="E8" s="27">
        <f t="shared" si="0"/>
        <v>2.1898178380504154</v>
      </c>
      <c r="F8" s="27">
        <f t="shared" si="0"/>
        <v>2.2472556829828854</v>
      </c>
      <c r="G8" s="27">
        <f t="shared" si="0"/>
        <v>2.2113570299000918</v>
      </c>
      <c r="H8" s="27">
        <f t="shared" si="0"/>
        <v>1.8667299603052723</v>
      </c>
      <c r="I8" s="27">
        <f t="shared" si="0"/>
        <v>2.6565003281267336</v>
      </c>
      <c r="J8" s="27">
        <f t="shared" si="0"/>
        <v>3.8411558798589254</v>
      </c>
      <c r="K8" s="27">
        <f t="shared" si="0"/>
        <v>3.9273126472576307</v>
      </c>
      <c r="L8" s="27">
        <f t="shared" si="0"/>
        <v>3.3744733897826076</v>
      </c>
      <c r="M8" s="27">
        <f t="shared" si="0"/>
        <v>4.5519492108982407</v>
      </c>
      <c r="N8" s="27">
        <f t="shared" si="0"/>
        <v>4.6237465170638288</v>
      </c>
      <c r="O8" s="27">
        <f t="shared" si="0"/>
        <v>4.5950275945975934</v>
      </c>
      <c r="P8" s="27">
        <f t="shared" si="0"/>
        <v>2.7713760179916731</v>
      </c>
      <c r="Q8" s="27">
        <f t="shared" si="0"/>
        <v>3.3744733897826076</v>
      </c>
      <c r="R8" s="28">
        <f t="shared" si="0"/>
        <v>6.497656207985659</v>
      </c>
    </row>
    <row r="9" spans="1:20" x14ac:dyDescent="0.25">
      <c r="A9" s="137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7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7"/>
      <c r="B11" s="15" t="s">
        <v>56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7"/>
      <c r="B12" s="29" t="s">
        <v>53</v>
      </c>
      <c r="C12" s="33">
        <f t="shared" ref="C12:R12" si="2">C8-C11</f>
        <v>1.8852781074338569</v>
      </c>
      <c r="D12" s="87">
        <f t="shared" si="2"/>
        <v>1.8604981074338567</v>
      </c>
      <c r="E12" s="34">
        <f t="shared" si="2"/>
        <v>1.8676778380504153</v>
      </c>
      <c r="F12" s="34">
        <f t="shared" si="2"/>
        <v>1.9251156829828853</v>
      </c>
      <c r="G12" s="34">
        <f t="shared" si="2"/>
        <v>1.8892170299000917</v>
      </c>
      <c r="H12" s="34">
        <f>H8-H11</f>
        <v>1.6932699603052723</v>
      </c>
      <c r="I12" s="34">
        <f t="shared" si="2"/>
        <v>2.4087003281267338</v>
      </c>
      <c r="J12" s="34">
        <f t="shared" si="2"/>
        <v>3.4446758798589254</v>
      </c>
      <c r="K12" s="34">
        <f t="shared" si="2"/>
        <v>3.5803926472576308</v>
      </c>
      <c r="L12" s="34">
        <f t="shared" si="2"/>
        <v>2.9532133897826078</v>
      </c>
      <c r="M12" s="34">
        <f t="shared" si="2"/>
        <v>4.1182992108982406</v>
      </c>
      <c r="N12" s="34">
        <f t="shared" si="2"/>
        <v>4.152926517063829</v>
      </c>
      <c r="O12" s="34">
        <f t="shared" si="2"/>
        <v>4.0498675945975933</v>
      </c>
      <c r="P12" s="34">
        <f t="shared" si="2"/>
        <v>2.2386060179916729</v>
      </c>
      <c r="Q12" s="34">
        <f t="shared" si="2"/>
        <v>2.8293133897826075</v>
      </c>
      <c r="R12" s="35">
        <f t="shared" si="2"/>
        <v>5.9524962079856589</v>
      </c>
    </row>
    <row r="13" spans="1:20" ht="17.25" x14ac:dyDescent="0.25">
      <c r="A13" s="137"/>
      <c r="B13" s="15" t="s">
        <v>54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7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7"/>
      <c r="B15" s="15" t="s">
        <v>55</v>
      </c>
      <c r="C15" s="39">
        <f t="shared" ref="C15:R15" si="4">C13/C12</f>
        <v>265.21286065352666</v>
      </c>
      <c r="D15" s="90">
        <f t="shared" si="4"/>
        <v>268.7452344091007</v>
      </c>
      <c r="E15" s="40">
        <f t="shared" si="4"/>
        <v>267.712123479458</v>
      </c>
      <c r="F15" s="40">
        <f t="shared" si="4"/>
        <v>259.72465157276741</v>
      </c>
      <c r="G15" s="40">
        <f t="shared" si="4"/>
        <v>264.65990518116479</v>
      </c>
      <c r="H15" s="40">
        <f t="shared" si="4"/>
        <v>295.28664165863853</v>
      </c>
      <c r="I15" s="40">
        <f t="shared" si="4"/>
        <v>269.85507180360224</v>
      </c>
      <c r="J15" s="40">
        <f t="shared" si="4"/>
        <v>261.27276742125849</v>
      </c>
      <c r="K15" s="40">
        <f t="shared" si="4"/>
        <v>265.3340271848798</v>
      </c>
      <c r="L15" s="40">
        <f t="shared" si="4"/>
        <v>270.89136286859707</v>
      </c>
      <c r="M15" s="40">
        <f t="shared" si="4"/>
        <v>315.66429087032208</v>
      </c>
      <c r="N15" s="40">
        <f t="shared" si="4"/>
        <v>409.3498868845677</v>
      </c>
      <c r="O15" s="40">
        <f t="shared" si="4"/>
        <v>395.07464444871084</v>
      </c>
      <c r="P15" s="40">
        <f t="shared" si="4"/>
        <v>312.69459403490436</v>
      </c>
      <c r="Q15" s="40">
        <f t="shared" si="4"/>
        <v>300.42624584097786</v>
      </c>
      <c r="R15" s="41">
        <f t="shared" si="4"/>
        <v>352.79316888647725</v>
      </c>
    </row>
    <row r="16" spans="1:20" ht="18" thickBot="1" x14ac:dyDescent="0.3">
      <c r="A16" s="138"/>
      <c r="B16" s="8" t="s">
        <v>41</v>
      </c>
      <c r="C16" s="36">
        <f>IFERROR(C12*365/C13,"N/A")</f>
        <v>1.3762530184267154</v>
      </c>
      <c r="D16" s="91">
        <f t="shared" ref="D16:R16" si="5">IFERROR(D12*365/D13,"N/A")</f>
        <v>1.3581636184267154</v>
      </c>
      <c r="E16" s="37">
        <f t="shared" si="5"/>
        <v>1.3634048217768031</v>
      </c>
      <c r="F16" s="37">
        <f t="shared" si="5"/>
        <v>1.4053344485775063</v>
      </c>
      <c r="G16" s="37">
        <f t="shared" si="5"/>
        <v>1.3791284318270669</v>
      </c>
      <c r="H16" s="37">
        <f t="shared" si="5"/>
        <v>1.2360870710228486</v>
      </c>
      <c r="I16" s="37">
        <f t="shared" si="5"/>
        <v>1.3525778765634737</v>
      </c>
      <c r="J16" s="37">
        <f t="shared" si="5"/>
        <v>1.3970074401650088</v>
      </c>
      <c r="K16" s="37">
        <f t="shared" si="5"/>
        <v>1.3756245434200371</v>
      </c>
      <c r="L16" s="37">
        <f t="shared" si="5"/>
        <v>1.3474036090883148</v>
      </c>
      <c r="M16" s="37">
        <f t="shared" si="5"/>
        <v>1.1562917015214291</v>
      </c>
      <c r="N16" s="37">
        <f t="shared" si="5"/>
        <v>0.89165775219311627</v>
      </c>
      <c r="O16" s="37">
        <f t="shared" si="5"/>
        <v>0.92387604501757592</v>
      </c>
      <c r="P16" s="37">
        <f t="shared" si="5"/>
        <v>1.167273137952801</v>
      </c>
      <c r="Q16" s="37">
        <f t="shared" si="5"/>
        <v>1.2149404556125314</v>
      </c>
      <c r="R16" s="38">
        <f t="shared" si="5"/>
        <v>1.0346005313879836</v>
      </c>
    </row>
    <row r="17" spans="1:18" ht="15.75" thickBot="1" x14ac:dyDescent="0.3"/>
    <row r="18" spans="1:18" ht="15.75" thickBot="1" x14ac:dyDescent="0.3">
      <c r="A18" s="136" t="s">
        <v>18</v>
      </c>
      <c r="B18" s="108" t="s">
        <v>33</v>
      </c>
      <c r="C18" s="60">
        <f>1-2/$L$5</f>
        <v>2.6326019589681393E-2</v>
      </c>
      <c r="D18" s="92"/>
    </row>
    <row r="19" spans="1:18" ht="15.75" customHeight="1" thickBot="1" x14ac:dyDescent="0.3">
      <c r="A19" s="137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7"/>
      <c r="B20" s="42" t="s">
        <v>35</v>
      </c>
      <c r="C20" s="43">
        <f t="shared" ref="C20:R20" si="7">C$8*(1-$C$18)</f>
        <v>2.125177933860368</v>
      </c>
      <c r="D20" s="93">
        <f t="shared" si="7"/>
        <v>2.125177933860368</v>
      </c>
      <c r="E20" s="44">
        <f t="shared" si="7"/>
        <v>2.1321686507480666</v>
      </c>
      <c r="F20" s="44">
        <f t="shared" si="7"/>
        <v>2.1880943858496549</v>
      </c>
      <c r="G20" s="44">
        <f t="shared" si="7"/>
        <v>2.1531408014111624</v>
      </c>
      <c r="H20" s="44">
        <f t="shared" si="7"/>
        <v>1.8175863908016305</v>
      </c>
      <c r="I20" s="44">
        <f t="shared" si="7"/>
        <v>2.586565248448474</v>
      </c>
      <c r="J20" s="44">
        <f t="shared" si="7"/>
        <v>3.7400335349187395</v>
      </c>
      <c r="K20" s="44">
        <f t="shared" si="7"/>
        <v>3.823922137571123</v>
      </c>
      <c r="L20" s="44">
        <f t="shared" si="7"/>
        <v>3.2856369372183321</v>
      </c>
      <c r="M20" s="44">
        <f t="shared" si="7"/>
        <v>4.4321145068008985</v>
      </c>
      <c r="N20" s="44">
        <f t="shared" si="7"/>
        <v>4.5020216756778852</v>
      </c>
      <c r="O20" s="44">
        <f t="shared" si="7"/>
        <v>4.4740588081270909</v>
      </c>
      <c r="P20" s="44">
        <f t="shared" si="7"/>
        <v>2.698416718651651</v>
      </c>
      <c r="Q20" s="44">
        <f t="shared" si="7"/>
        <v>3.2856369372183321</v>
      </c>
      <c r="R20" s="45">
        <f t="shared" si="7"/>
        <v>6.3265987833672135</v>
      </c>
    </row>
    <row r="21" spans="1:18" x14ac:dyDescent="0.25">
      <c r="A21" s="137"/>
      <c r="B21" s="22" t="s">
        <v>17</v>
      </c>
      <c r="C21" s="50">
        <f t="shared" ref="C21:R21" si="8">C20-C$11</f>
        <v>1.8278179338603682</v>
      </c>
      <c r="D21" s="94">
        <f t="shared" si="8"/>
        <v>1.8030379338603679</v>
      </c>
      <c r="E21" s="51">
        <f t="shared" si="8"/>
        <v>1.8100286507480665</v>
      </c>
      <c r="F21" s="51">
        <f t="shared" si="8"/>
        <v>1.8659543858496548</v>
      </c>
      <c r="G21" s="51">
        <f t="shared" si="8"/>
        <v>1.8310008014111623</v>
      </c>
      <c r="H21" s="51">
        <f t="shared" si="8"/>
        <v>1.6441263908016306</v>
      </c>
      <c r="I21" s="51">
        <f t="shared" si="8"/>
        <v>2.3387652484484742</v>
      </c>
      <c r="J21" s="51">
        <f t="shared" si="8"/>
        <v>3.3435535349187395</v>
      </c>
      <c r="K21" s="51">
        <f t="shared" si="8"/>
        <v>3.4770021375711231</v>
      </c>
      <c r="L21" s="51">
        <f t="shared" si="8"/>
        <v>2.8643769372183323</v>
      </c>
      <c r="M21" s="51">
        <f t="shared" si="8"/>
        <v>3.9984645068008984</v>
      </c>
      <c r="N21" s="51">
        <f t="shared" si="8"/>
        <v>4.0312016756778855</v>
      </c>
      <c r="O21" s="51">
        <f t="shared" si="8"/>
        <v>3.9288988081270908</v>
      </c>
      <c r="P21" s="51">
        <f t="shared" si="8"/>
        <v>2.1656467186516508</v>
      </c>
      <c r="Q21" s="51">
        <f t="shared" si="8"/>
        <v>2.740476937218332</v>
      </c>
      <c r="R21" s="52">
        <f t="shared" si="8"/>
        <v>5.7814387833672134</v>
      </c>
    </row>
    <row r="22" spans="1:18" x14ac:dyDescent="0.25">
      <c r="A22" s="137"/>
      <c r="B22" s="46" t="s">
        <v>15</v>
      </c>
      <c r="C22" s="47">
        <f t="shared" ref="C22:R22" si="9">IF(C21&gt;0,C$13/C21,"N/A")</f>
        <v>273.5502211338935</v>
      </c>
      <c r="D22" s="95">
        <f t="shared" si="9"/>
        <v>277.30975073246645</v>
      </c>
      <c r="E22" s="48">
        <f t="shared" si="9"/>
        <v>276.23872130054684</v>
      </c>
      <c r="F22" s="48">
        <f t="shared" si="9"/>
        <v>267.95939053586619</v>
      </c>
      <c r="G22" s="48">
        <f t="shared" si="9"/>
        <v>273.07470297918343</v>
      </c>
      <c r="H22" s="48">
        <f t="shared" si="9"/>
        <v>304.11287282859917</v>
      </c>
      <c r="I22" s="48">
        <f t="shared" si="9"/>
        <v>277.92443060764947</v>
      </c>
      <c r="J22" s="48">
        <f t="shared" si="9"/>
        <v>269.17469410935371</v>
      </c>
      <c r="K22" s="48">
        <f t="shared" si="9"/>
        <v>273.22387574476073</v>
      </c>
      <c r="L22" s="48">
        <f t="shared" si="9"/>
        <v>279.29285060397808</v>
      </c>
      <c r="M22" s="48">
        <f t="shared" si="9"/>
        <v>325.12480673239918</v>
      </c>
      <c r="N22" s="48">
        <f t="shared" si="9"/>
        <v>421.71048158093669</v>
      </c>
      <c r="O22" s="48">
        <f t="shared" si="9"/>
        <v>407.23879085160792</v>
      </c>
      <c r="P22" s="48">
        <f t="shared" si="9"/>
        <v>323.22908162778538</v>
      </c>
      <c r="Q22" s="48">
        <f t="shared" si="9"/>
        <v>310.16498933312539</v>
      </c>
      <c r="R22" s="49">
        <f t="shared" si="9"/>
        <v>363.23138213303412</v>
      </c>
    </row>
    <row r="23" spans="1:18" ht="15.75" thickBot="1" x14ac:dyDescent="0.3">
      <c r="A23" s="138"/>
      <c r="B23" s="53" t="s">
        <v>16</v>
      </c>
      <c r="C23" s="54">
        <f>IFERROR(C21*365/C$13,"N/A")</f>
        <v>1.3343070917180686</v>
      </c>
      <c r="D23" s="96">
        <f t="shared" ref="D23:R23" si="10">IFERROR(D21*365/D$13,"N/A")</f>
        <v>1.3162176917180686</v>
      </c>
      <c r="E23" s="55">
        <f t="shared" si="10"/>
        <v>1.3213209150460887</v>
      </c>
      <c r="F23" s="55">
        <f t="shared" si="10"/>
        <v>1.362146701670248</v>
      </c>
      <c r="G23" s="55">
        <f t="shared" si="10"/>
        <v>1.3366305850301485</v>
      </c>
      <c r="H23" s="55">
        <f t="shared" si="10"/>
        <v>1.2002122652851903</v>
      </c>
      <c r="I23" s="55">
        <f t="shared" si="10"/>
        <v>1.3133066395133739</v>
      </c>
      <c r="J23" s="55">
        <f t="shared" si="10"/>
        <v>1.355996711383711</v>
      </c>
      <c r="K23" s="55">
        <f t="shared" si="10"/>
        <v>1.3359008212773262</v>
      </c>
      <c r="L23" s="55">
        <f t="shared" si="10"/>
        <v>1.3068719776058639</v>
      </c>
      <c r="M23" s="55">
        <f t="shared" si="10"/>
        <v>1.12264580383256</v>
      </c>
      <c r="N23" s="55">
        <f t="shared" si="10"/>
        <v>0.86552271271907544</v>
      </c>
      <c r="O23" s="55">
        <f t="shared" si="10"/>
        <v>0.89628004060399258</v>
      </c>
      <c r="P23" s="55">
        <f t="shared" si="10"/>
        <v>1.1292300747255037</v>
      </c>
      <c r="Q23" s="55">
        <f t="shared" si="10"/>
        <v>1.1767930377466955</v>
      </c>
      <c r="R23" s="56">
        <f t="shared" si="10"/>
        <v>1.004869121870968</v>
      </c>
    </row>
    <row r="24" spans="1:18" ht="15.75" thickBot="1" x14ac:dyDescent="0.3"/>
    <row r="25" spans="1:18" ht="15.75" thickBot="1" x14ac:dyDescent="0.3">
      <c r="A25" s="136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7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7"/>
      <c r="B27" s="42" t="s">
        <v>35</v>
      </c>
      <c r="C27" s="43">
        <f t="shared" ref="C27:R27" si="12">C$8*(1-$C$25)</f>
        <v>0.12893876364200019</v>
      </c>
      <c r="D27" s="93">
        <f t="shared" si="12"/>
        <v>0.12893876364200019</v>
      </c>
      <c r="E27" s="44">
        <f t="shared" si="12"/>
        <v>0.12936290431187519</v>
      </c>
      <c r="F27" s="44">
        <f t="shared" si="12"/>
        <v>0.13275602967087519</v>
      </c>
      <c r="G27" s="44">
        <f t="shared" si="12"/>
        <v>0.13063532632150021</v>
      </c>
      <c r="H27" s="44">
        <f t="shared" si="12"/>
        <v>0.11027657416750017</v>
      </c>
      <c r="I27" s="44">
        <f t="shared" si="12"/>
        <v>0.15693204785375026</v>
      </c>
      <c r="J27" s="44">
        <f t="shared" si="12"/>
        <v>0.22691525838312535</v>
      </c>
      <c r="K27" s="44">
        <f t="shared" si="12"/>
        <v>0.23200494642162536</v>
      </c>
      <c r="L27" s="44">
        <f t="shared" si="12"/>
        <v>0.19934611484125031</v>
      </c>
      <c r="M27" s="44">
        <f t="shared" si="12"/>
        <v>0.26890518470075042</v>
      </c>
      <c r="N27" s="44">
        <f t="shared" si="12"/>
        <v>0.27314659139950048</v>
      </c>
      <c r="O27" s="44">
        <f t="shared" si="12"/>
        <v>0.2714500287200004</v>
      </c>
      <c r="P27" s="44">
        <f t="shared" si="12"/>
        <v>0.16371829857175024</v>
      </c>
      <c r="Q27" s="44">
        <f t="shared" si="12"/>
        <v>0.19934611484125031</v>
      </c>
      <c r="R27" s="45">
        <f t="shared" si="12"/>
        <v>0.38384730623687557</v>
      </c>
    </row>
    <row r="28" spans="1:18" x14ac:dyDescent="0.25">
      <c r="A28" s="137"/>
      <c r="B28" s="22" t="s">
        <v>17</v>
      </c>
      <c r="C28" s="50">
        <f t="shared" ref="C28:R28" si="13">C27-C$11</f>
        <v>-0.16842123635799977</v>
      </c>
      <c r="D28" s="94">
        <f t="shared" si="13"/>
        <v>-0.19320123635799979</v>
      </c>
      <c r="E28" s="51">
        <f t="shared" si="13"/>
        <v>-0.19277709568812479</v>
      </c>
      <c r="F28" s="51">
        <f t="shared" si="13"/>
        <v>-0.1893839703291248</v>
      </c>
      <c r="G28" s="51">
        <f t="shared" si="13"/>
        <v>-0.19150467367849977</v>
      </c>
      <c r="H28" s="51">
        <f t="shared" si="13"/>
        <v>-6.3183425832499807E-2</v>
      </c>
      <c r="I28" s="51">
        <f t="shared" si="13"/>
        <v>-9.0867952146249709E-2</v>
      </c>
      <c r="J28" s="51">
        <f t="shared" si="13"/>
        <v>-0.1695647416168746</v>
      </c>
      <c r="K28" s="51">
        <f t="shared" si="13"/>
        <v>-0.11491505357837459</v>
      </c>
      <c r="L28" s="51">
        <f t="shared" si="13"/>
        <v>-0.22191388515874966</v>
      </c>
      <c r="M28" s="51">
        <f t="shared" si="13"/>
        <v>-0.16474481529924961</v>
      </c>
      <c r="N28" s="51">
        <f t="shared" si="13"/>
        <v>-0.19767340860049948</v>
      </c>
      <c r="O28" s="51">
        <f t="shared" si="13"/>
        <v>-0.27370997127999958</v>
      </c>
      <c r="P28" s="51">
        <f t="shared" si="13"/>
        <v>-0.36905170142824972</v>
      </c>
      <c r="Q28" s="51">
        <f t="shared" si="13"/>
        <v>-0.34581388515874967</v>
      </c>
      <c r="R28" s="52">
        <f t="shared" si="13"/>
        <v>-0.1613126937631244</v>
      </c>
    </row>
    <row r="29" spans="1:18" x14ac:dyDescent="0.25">
      <c r="A29" s="137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8"/>
      <c r="B30" s="53" t="s">
        <v>16</v>
      </c>
      <c r="C30" s="54">
        <f>IFERROR(C28*365/C$13,"N/A")</f>
        <v>-0.12294750254133983</v>
      </c>
      <c r="D30" s="96">
        <f t="shared" ref="D30:R30" si="15">IFERROR(D28*365/D$13,"N/A")</f>
        <v>-0.14103690254133985</v>
      </c>
      <c r="E30" s="55">
        <f t="shared" si="15"/>
        <v>-0.14072727985233111</v>
      </c>
      <c r="F30" s="55">
        <f t="shared" si="15"/>
        <v>-0.13825029834026112</v>
      </c>
      <c r="G30" s="55">
        <f t="shared" si="15"/>
        <v>-0.13979841178530483</v>
      </c>
      <c r="H30" s="55">
        <f t="shared" si="15"/>
        <v>-4.6123900857724859E-2</v>
      </c>
      <c r="I30" s="55">
        <f t="shared" si="15"/>
        <v>-5.1025850051355605E-2</v>
      </c>
      <c r="J30" s="55">
        <f t="shared" si="15"/>
        <v>-6.8767922989065811E-2</v>
      </c>
      <c r="K30" s="55">
        <f t="shared" si="15"/>
        <v>-4.4151573216954447E-2</v>
      </c>
      <c r="L30" s="55">
        <f t="shared" si="15"/>
        <v>-0.10124821010367953</v>
      </c>
      <c r="M30" s="55">
        <f t="shared" si="15"/>
        <v>-4.6255275064789318E-2</v>
      </c>
      <c r="N30" s="55">
        <f t="shared" si="15"/>
        <v>-4.2441643611283712E-2</v>
      </c>
      <c r="O30" s="55">
        <f t="shared" si="15"/>
        <v>-6.2440087198249908E-2</v>
      </c>
      <c r="P30" s="55">
        <f t="shared" si="15"/>
        <v>-0.19243410145901593</v>
      </c>
      <c r="Q30" s="55">
        <f t="shared" si="15"/>
        <v>-0.14849655068581602</v>
      </c>
      <c r="R30" s="56">
        <f t="shared" si="15"/>
        <v>-2.8037682487400194E-2</v>
      </c>
    </row>
    <row r="31" spans="1:18" ht="15.75" thickBot="1" x14ac:dyDescent="0.3"/>
    <row r="32" spans="1:18" ht="15.75" thickBot="1" x14ac:dyDescent="0.3">
      <c r="A32" s="136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7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7"/>
      <c r="B34" s="42" t="s">
        <v>35</v>
      </c>
      <c r="C34" s="43">
        <f t="shared" ref="C34:R34" si="17">C$8*(1-$C$32)</f>
        <v>0.75343735381168719</v>
      </c>
      <c r="D34" s="93">
        <f t="shared" si="17"/>
        <v>0.75343735381168719</v>
      </c>
      <c r="E34" s="44">
        <f t="shared" si="17"/>
        <v>0.75591576615975198</v>
      </c>
      <c r="F34" s="44">
        <f t="shared" si="17"/>
        <v>0.77574306494427003</v>
      </c>
      <c r="G34" s="44">
        <f t="shared" si="17"/>
        <v>0.76335100320394622</v>
      </c>
      <c r="H34" s="44">
        <f t="shared" si="17"/>
        <v>0.64438721049683778</v>
      </c>
      <c r="I34" s="44">
        <f t="shared" si="17"/>
        <v>0.91701256878396142</v>
      </c>
      <c r="J34" s="44">
        <f t="shared" si="17"/>
        <v>1.3259506062146469</v>
      </c>
      <c r="K34" s="44">
        <f t="shared" si="17"/>
        <v>1.3556915543914241</v>
      </c>
      <c r="L34" s="44">
        <f t="shared" si="17"/>
        <v>1.1648538035904374</v>
      </c>
      <c r="M34" s="44">
        <f t="shared" si="17"/>
        <v>1.5713134286730581</v>
      </c>
      <c r="N34" s="44">
        <f t="shared" si="17"/>
        <v>1.596097552153706</v>
      </c>
      <c r="O34" s="44">
        <f t="shared" si="17"/>
        <v>1.5861839027614468</v>
      </c>
      <c r="P34" s="44">
        <f t="shared" si="17"/>
        <v>0.95666716635299742</v>
      </c>
      <c r="Q34" s="44">
        <f t="shared" si="17"/>
        <v>1.1648538035904374</v>
      </c>
      <c r="R34" s="45">
        <f t="shared" si="17"/>
        <v>2.2429631749986081</v>
      </c>
    </row>
    <row r="35" spans="1:18" x14ac:dyDescent="0.25">
      <c r="A35" s="137"/>
      <c r="B35" s="22" t="s">
        <v>17</v>
      </c>
      <c r="C35" s="50">
        <f>C34-C$11</f>
        <v>0.45607735381168724</v>
      </c>
      <c r="D35" s="94">
        <f>D34-D$11</f>
        <v>0.43129735381168721</v>
      </c>
      <c r="E35" s="51">
        <f>E34-E$11</f>
        <v>0.433775766159752</v>
      </c>
      <c r="F35" s="51">
        <f t="shared" ref="F35:Q35" si="18">F34-F$11</f>
        <v>0.45360306494427005</v>
      </c>
      <c r="G35" s="51">
        <f t="shared" si="18"/>
        <v>0.44121100320394624</v>
      </c>
      <c r="H35" s="51">
        <f t="shared" si="18"/>
        <v>0.47092721049683783</v>
      </c>
      <c r="I35" s="51">
        <f t="shared" si="18"/>
        <v>0.6692125687839614</v>
      </c>
      <c r="J35" s="51">
        <f t="shared" si="18"/>
        <v>0.92947060621464694</v>
      </c>
      <c r="K35" s="51">
        <f t="shared" si="18"/>
        <v>1.0087715543914242</v>
      </c>
      <c r="L35" s="51">
        <f t="shared" si="18"/>
        <v>0.74359380359043747</v>
      </c>
      <c r="M35" s="51">
        <f t="shared" si="18"/>
        <v>1.137663428673058</v>
      </c>
      <c r="N35" s="51">
        <f t="shared" si="18"/>
        <v>1.125277552153706</v>
      </c>
      <c r="O35" s="51">
        <f t="shared" si="18"/>
        <v>1.041023902761447</v>
      </c>
      <c r="P35" s="51">
        <f t="shared" si="18"/>
        <v>0.42389716635299746</v>
      </c>
      <c r="Q35" s="51">
        <f t="shared" si="18"/>
        <v>0.61969380359043746</v>
      </c>
      <c r="R35" s="52">
        <f>R34-R$11</f>
        <v>1.697803174998608</v>
      </c>
    </row>
    <row r="36" spans="1:18" x14ac:dyDescent="0.25">
      <c r="A36" s="137"/>
      <c r="B36" s="46" t="s">
        <v>15</v>
      </c>
      <c r="C36" s="47">
        <f>IF(C35&gt;0,C$13/C35,"N/A")</f>
        <v>1096.3052557230199</v>
      </c>
      <c r="D36" s="95">
        <f>IF(D35&gt;0,D$13/D35,"N/A")</f>
        <v>1159.2929925981175</v>
      </c>
      <c r="E36" s="48">
        <f>IF(E35&gt;0,E$13/E35,"N/A")</f>
        <v>1152.6692798598131</v>
      </c>
      <c r="F36" s="48">
        <f t="shared" ref="F36:Q36" si="19">IF(F35&gt;0,F$13/F35,"N/A")</f>
        <v>1102.2853208926847</v>
      </c>
      <c r="G36" s="48">
        <f t="shared" si="19"/>
        <v>1133.2446298237014</v>
      </c>
      <c r="H36" s="48">
        <f t="shared" si="19"/>
        <v>1061.7352084465235</v>
      </c>
      <c r="I36" s="48">
        <f t="shared" si="19"/>
        <v>971.29078310816408</v>
      </c>
      <c r="J36" s="48">
        <f t="shared" si="19"/>
        <v>968.29312727309514</v>
      </c>
      <c r="K36" s="48">
        <f t="shared" si="19"/>
        <v>941.73948092055377</v>
      </c>
      <c r="L36" s="48">
        <f t="shared" si="19"/>
        <v>1075.8561947896897</v>
      </c>
      <c r="M36" s="48">
        <f t="shared" si="19"/>
        <v>1142.6929680918786</v>
      </c>
      <c r="N36" s="48">
        <f t="shared" si="19"/>
        <v>1510.7383922715901</v>
      </c>
      <c r="O36" s="48">
        <f t="shared" si="19"/>
        <v>1536.948379144608</v>
      </c>
      <c r="P36" s="48">
        <f t="shared" si="19"/>
        <v>1651.3439002729256</v>
      </c>
      <c r="Q36" s="48">
        <f t="shared" si="19"/>
        <v>1371.6451497097339</v>
      </c>
      <c r="R36" s="49">
        <f>IF(R35&gt;0,R$13/R35,"N/A")</f>
        <v>1236.8924919708209</v>
      </c>
    </row>
    <row r="37" spans="1:18" ht="15.75" thickBot="1" x14ac:dyDescent="0.3">
      <c r="A37" s="138"/>
      <c r="B37" s="53" t="s">
        <v>16</v>
      </c>
      <c r="C37" s="12">
        <f>IFERROR(C35*365/C$13,"N/A")</f>
        <v>0.33293646828253165</v>
      </c>
      <c r="D37" s="97">
        <f t="shared" ref="D37:R37" si="20">IFERROR(D35*365/D$13,"N/A")</f>
        <v>0.31484706828253167</v>
      </c>
      <c r="E37" s="13">
        <f t="shared" si="20"/>
        <v>0.31665630929661898</v>
      </c>
      <c r="F37" s="13">
        <f t="shared" si="20"/>
        <v>0.33113023740931713</v>
      </c>
      <c r="G37" s="13">
        <f t="shared" si="20"/>
        <v>0.32208403233888078</v>
      </c>
      <c r="H37" s="13">
        <f t="shared" si="20"/>
        <v>0.34377686366269161</v>
      </c>
      <c r="I37" s="13">
        <f t="shared" si="20"/>
        <v>0.37578859631714756</v>
      </c>
      <c r="J37" s="13">
        <f t="shared" si="20"/>
        <v>0.37695196807594017</v>
      </c>
      <c r="K37" s="13">
        <f t="shared" si="20"/>
        <v>0.38758064984512614</v>
      </c>
      <c r="L37" s="13">
        <f t="shared" si="20"/>
        <v>0.33926467288813711</v>
      </c>
      <c r="M37" s="13">
        <f t="shared" si="20"/>
        <v>0.31942088574282018</v>
      </c>
      <c r="N37" s="13">
        <f t="shared" si="20"/>
        <v>0.24160370972711923</v>
      </c>
      <c r="O37" s="13">
        <f t="shared" si="20"/>
        <v>0.23748357781745508</v>
      </c>
      <c r="P37" s="13">
        <f t="shared" si="20"/>
        <v>0.22103209388406295</v>
      </c>
      <c r="Q37" s="13">
        <f t="shared" si="20"/>
        <v>0.26610380977707021</v>
      </c>
      <c r="R37" s="14">
        <f t="shared" si="20"/>
        <v>0.29509436136880568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G4" sqref="G4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opLeftCell="B1" workbookViewId="0">
      <selection activeCell="E17" sqref="E17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0" t="s">
        <v>81</v>
      </c>
      <c r="B2" s="161"/>
      <c r="C2" s="162"/>
      <c r="E2" s="160" t="s">
        <v>82</v>
      </c>
      <c r="F2" s="162"/>
    </row>
    <row r="3" spans="1:6" ht="16.5" thickBot="1" x14ac:dyDescent="0.3">
      <c r="A3" s="112" t="s">
        <v>21</v>
      </c>
      <c r="B3" s="113" t="s">
        <v>83</v>
      </c>
      <c r="C3" s="114" t="s">
        <v>84</v>
      </c>
      <c r="E3" s="112" t="s">
        <v>21</v>
      </c>
      <c r="F3" s="115" t="s">
        <v>85</v>
      </c>
    </row>
    <row r="4" spans="1:6" x14ac:dyDescent="0.25">
      <c r="A4" s="116">
        <v>43926</v>
      </c>
      <c r="B4" s="117" t="s">
        <v>86</v>
      </c>
      <c r="C4" s="118">
        <v>150.97</v>
      </c>
      <c r="E4" s="119">
        <v>44290</v>
      </c>
      <c r="F4" s="121">
        <v>215.24</v>
      </c>
    </row>
    <row r="5" spans="1:6" x14ac:dyDescent="0.25">
      <c r="A5" s="119">
        <v>44262</v>
      </c>
      <c r="B5" s="120" t="s">
        <v>87</v>
      </c>
      <c r="C5" s="121">
        <v>19.86</v>
      </c>
      <c r="E5" s="119">
        <v>44310</v>
      </c>
      <c r="F5" s="121">
        <v>246.25</v>
      </c>
    </row>
    <row r="6" spans="1:6" x14ac:dyDescent="0.25">
      <c r="A6" s="119">
        <v>44263</v>
      </c>
      <c r="B6" s="120" t="s">
        <v>88</v>
      </c>
      <c r="C6" s="121">
        <v>18.11</v>
      </c>
      <c r="E6" s="119">
        <v>44318</v>
      </c>
      <c r="F6" s="121">
        <v>788.93</v>
      </c>
    </row>
    <row r="7" spans="1:6" x14ac:dyDescent="0.25">
      <c r="A7" s="119">
        <v>44264</v>
      </c>
      <c r="B7" s="120" t="s">
        <v>89</v>
      </c>
      <c r="C7" s="121">
        <v>7.99</v>
      </c>
      <c r="E7" s="119">
        <v>44328</v>
      </c>
      <c r="F7" s="121">
        <v>297</v>
      </c>
    </row>
    <row r="8" spans="1:6" x14ac:dyDescent="0.25">
      <c r="A8" s="119">
        <v>44271</v>
      </c>
      <c r="B8" s="120" t="s">
        <v>90</v>
      </c>
      <c r="C8" s="121">
        <v>16.89</v>
      </c>
      <c r="E8" s="119">
        <v>44328</v>
      </c>
      <c r="F8" s="121">
        <v>742.5</v>
      </c>
    </row>
    <row r="9" spans="1:6" x14ac:dyDescent="0.25">
      <c r="A9" s="119">
        <v>44271</v>
      </c>
      <c r="B9" s="120" t="s">
        <v>91</v>
      </c>
      <c r="C9" s="121">
        <v>60.07</v>
      </c>
      <c r="E9" s="119">
        <v>44333</v>
      </c>
      <c r="F9" s="121">
        <v>367.54</v>
      </c>
    </row>
    <row r="10" spans="1:6" x14ac:dyDescent="0.25">
      <c r="A10" s="119">
        <v>44272</v>
      </c>
      <c r="B10" s="120" t="s">
        <v>92</v>
      </c>
      <c r="C10" s="121">
        <v>889.1</v>
      </c>
      <c r="E10" s="119">
        <v>44339</v>
      </c>
      <c r="F10" s="121">
        <v>290.45</v>
      </c>
    </row>
    <row r="11" spans="1:6" x14ac:dyDescent="0.25">
      <c r="A11" s="119">
        <v>44275</v>
      </c>
      <c r="B11" s="120" t="s">
        <v>89</v>
      </c>
      <c r="C11" s="121">
        <v>15.98</v>
      </c>
      <c r="E11" s="119">
        <v>44358</v>
      </c>
      <c r="F11" s="121">
        <v>305.98</v>
      </c>
    </row>
    <row r="12" spans="1:6" x14ac:dyDescent="0.25">
      <c r="A12" s="119">
        <v>44324</v>
      </c>
      <c r="B12" s="120" t="s">
        <v>93</v>
      </c>
      <c r="C12" s="121">
        <v>50</v>
      </c>
      <c r="E12" s="119">
        <v>44371</v>
      </c>
      <c r="F12" s="121">
        <v>726.08</v>
      </c>
    </row>
    <row r="13" spans="1:6" x14ac:dyDescent="0.25">
      <c r="A13" s="119">
        <v>44320</v>
      </c>
      <c r="B13" s="120" t="s">
        <v>94</v>
      </c>
      <c r="C13" s="121">
        <v>1034.99</v>
      </c>
      <c r="E13" s="119">
        <v>44381</v>
      </c>
      <c r="F13" s="127">
        <v>305.35000000000002</v>
      </c>
    </row>
    <row r="14" spans="1:6" x14ac:dyDescent="0.25">
      <c r="A14" s="119">
        <v>44320</v>
      </c>
      <c r="B14" s="120" t="s">
        <v>95</v>
      </c>
      <c r="C14" s="121">
        <v>927.88</v>
      </c>
      <c r="E14" s="119"/>
      <c r="F14" s="127"/>
    </row>
    <row r="15" spans="1:6" x14ac:dyDescent="0.25">
      <c r="A15" s="119">
        <v>44332</v>
      </c>
      <c r="B15" s="120" t="s">
        <v>97</v>
      </c>
      <c r="C15" s="121">
        <v>80</v>
      </c>
    </row>
    <row r="16" spans="1:6" x14ac:dyDescent="0.25">
      <c r="A16" s="119">
        <v>44349</v>
      </c>
      <c r="B16" s="122" t="s">
        <v>98</v>
      </c>
      <c r="C16" s="121">
        <v>56.49</v>
      </c>
      <c r="E16" s="6" t="s">
        <v>96</v>
      </c>
      <c r="F16" s="111">
        <f>SUM(F4:F15)</f>
        <v>4285.32</v>
      </c>
    </row>
    <row r="17" spans="1:3" x14ac:dyDescent="0.25">
      <c r="A17" s="119">
        <v>44367</v>
      </c>
      <c r="B17" s="122" t="s">
        <v>99</v>
      </c>
      <c r="C17" s="121">
        <v>50</v>
      </c>
    </row>
    <row r="18" spans="1:3" x14ac:dyDescent="0.25">
      <c r="A18" s="119">
        <v>44362</v>
      </c>
      <c r="B18" s="122" t="s">
        <v>100</v>
      </c>
      <c r="C18" s="121">
        <v>2.48</v>
      </c>
    </row>
    <row r="19" spans="1:3" x14ac:dyDescent="0.25">
      <c r="A19" s="119">
        <v>44366</v>
      </c>
      <c r="B19" s="122" t="s">
        <v>101</v>
      </c>
      <c r="C19" s="121">
        <v>1850</v>
      </c>
    </row>
    <row r="20" spans="1:3" x14ac:dyDescent="0.25">
      <c r="A20" s="119">
        <v>44368</v>
      </c>
      <c r="B20" s="122" t="s">
        <v>102</v>
      </c>
      <c r="C20" s="121">
        <v>20.95</v>
      </c>
    </row>
    <row r="21" spans="1:3" x14ac:dyDescent="0.25">
      <c r="A21" s="119">
        <v>44368</v>
      </c>
      <c r="B21" s="122" t="s">
        <v>103</v>
      </c>
      <c r="C21" s="121">
        <v>22.95</v>
      </c>
    </row>
    <row r="22" spans="1:3" x14ac:dyDescent="0.25">
      <c r="A22" s="119">
        <v>44368</v>
      </c>
      <c r="B22" s="122" t="s">
        <v>104</v>
      </c>
      <c r="C22" s="121">
        <v>20.25</v>
      </c>
    </row>
    <row r="23" spans="1:3" x14ac:dyDescent="0.25">
      <c r="A23" s="119">
        <v>44372</v>
      </c>
      <c r="B23" s="120" t="s">
        <v>89</v>
      </c>
      <c r="C23" s="121">
        <v>9.99</v>
      </c>
    </row>
    <row r="24" spans="1:3" x14ac:dyDescent="0.25">
      <c r="A24" s="109"/>
      <c r="B24" s="5"/>
      <c r="C24" s="110"/>
    </row>
    <row r="25" spans="1:3" x14ac:dyDescent="0.25">
      <c r="A25" s="109"/>
      <c r="B25" s="5"/>
      <c r="C25" s="110"/>
    </row>
    <row r="26" spans="1:3" x14ac:dyDescent="0.25">
      <c r="A26" s="109"/>
    </row>
    <row r="27" spans="1:3" x14ac:dyDescent="0.25">
      <c r="A27" s="109"/>
      <c r="B27" s="6" t="s">
        <v>96</v>
      </c>
      <c r="C27" s="111">
        <f>SUM(C4:C26)</f>
        <v>5304.9499999999989</v>
      </c>
    </row>
    <row r="28" spans="1:3" x14ac:dyDescent="0.25">
      <c r="A28" s="109"/>
    </row>
    <row r="29" spans="1:3" x14ac:dyDescent="0.25">
      <c r="A29" s="109"/>
    </row>
    <row r="30" spans="1:3" x14ac:dyDescent="0.25">
      <c r="A30" s="109"/>
    </row>
    <row r="31" spans="1:3" x14ac:dyDescent="0.25"/>
    <row r="32" spans="1: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2021-06-30T04:34:38Z</cp:lastPrinted>
  <dcterms:created xsi:type="dcterms:W3CDTF">2021-03-17T05:33:13Z</dcterms:created>
  <dcterms:modified xsi:type="dcterms:W3CDTF">2021-07-05T20:27:00Z</dcterms:modified>
</cp:coreProperties>
</file>