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2099F276-4279-468C-B473-F4AD44A6F839}" xr6:coauthVersionLast="47" xr6:coauthVersionMax="47" xr10:uidLastSave="{00000000-0000-0000-0000-000000000000}"/>
  <bookViews>
    <workbookView xWindow="9600" yWindow="-105" windowWidth="28800" windowHeight="15375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3" l="1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L7" i="3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C39" i="3"/>
  <c r="C31" i="3"/>
  <c r="J8" i="5"/>
  <c r="I4" i="5"/>
  <c r="I5" i="5"/>
  <c r="E6" i="1"/>
  <c r="F6" i="1" s="1"/>
  <c r="E5" i="1"/>
  <c r="E4" i="1"/>
  <c r="F4" i="1" s="1"/>
  <c r="F5" i="1" l="1"/>
  <c r="C23" i="3"/>
  <c r="F10" i="3"/>
  <c r="G10" i="3"/>
  <c r="G33" i="3" s="1"/>
  <c r="H10" i="3"/>
  <c r="H41" i="3" s="1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D10" i="3"/>
  <c r="D25" i="3" s="1"/>
  <c r="P10" i="3"/>
  <c r="P25" i="3" s="1"/>
  <c r="E10" i="3"/>
  <c r="E25" i="3" s="1"/>
  <c r="Q25" i="3"/>
  <c r="Q33" i="3"/>
  <c r="Q41" i="3"/>
  <c r="F7" i="1"/>
  <c r="D6" i="3" s="1"/>
  <c r="P13" i="3" s="1"/>
  <c r="O25" i="3" l="1"/>
  <c r="O13" i="3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M34" i="3" s="1"/>
  <c r="M35" i="3" s="1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F28" i="3" s="1"/>
  <c r="Q26" i="3"/>
  <c r="Q28" i="3" s="1"/>
  <c r="Q34" i="3"/>
  <c r="Q36" i="3" s="1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<sst xmlns="http://schemas.openxmlformats.org/spreadsheetml/2006/main" count="2183" uniqueCount="71">
  <si>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</si>
  <si>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</si>
  <si>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</si>
  <si>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</si>
  <si>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</si>
  <si>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</si>
  <si>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</si>
  <si>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</si>
  <si>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</si>
  <si>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</si>
  <si>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</si>
  <si>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</si>
  <si>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</si>
  <si>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</si>
  <si>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</si>
  <si>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</si>
  <si>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</si>
  <si>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</si>
  <si>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</si>
  <si>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</si>
  <si>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</si>
  <si>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</si>
  <si>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</si>
  <si>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</si>
  <si>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</si>
  <si>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</si>
  <si>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</si>
  <si>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</si>
  <si>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</si>
  <si>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</si>
  <si>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</si>
  <si>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</si>
  <si>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</si>
  <si>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</si>
  <si>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</si>
  <si>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</si>
  <si>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</si>
  <si>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</si>
  <si>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</si>
  <si>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</si>
  <si>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</si>
  <si>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</si>
  <si>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</si>
  <si>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</si>
  <si>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</si>
  <si>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</si>
  <si>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</si>
  <si>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</si>
  <si>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</si>
  <si>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</si>
  <si>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</si>
  <si>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</si>
  <si>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</si>
  <si>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</si>
  <si>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</si>
  <si>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</si>
  <si>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</si>
  <si>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</si>
  <si>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</si>
  <si>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</si>
  <si>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</si>
  <si>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</si>
  <si>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</si>
  <si>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</si>
  <si>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</si>
  <si>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</si>
  <si>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</si>
  <si>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</si>
  <si>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</si>
  <si>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</si>
  <si>
    <t>Efficiency (kH/s/W)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</si>
</sst>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J22" sqref="J22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96" t="s">
        <v>65</v>
      </c>
      <c r="J1" s="96"/>
      <c r="K1" s="97"/>
      <c r="L1" s="95" t="s">
        <v>64</v>
      </c>
      <c r="M1" s="96"/>
      <c r="N1" s="97"/>
      <c r="O1" s="95" t="s">
        <v>63</v>
      </c>
      <c r="P1" s="96"/>
      <c r="Q1" s="79" t="s">
        <v>68</v>
      </c>
    </row>
    <row r="2" spans="1:29" s="7" customFormat="1" ht="5.25" customHeight="1" x14ac:dyDescent="0.25"/>
    <row r="3" spans="1:29" s="7" customFormat="1" ht="31.5" x14ac:dyDescent="0.25">
      <c r="A3" s="104" t="s">
        <v>38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</row>
    <row r="4" spans="1:29" s="7" customFormat="1" x14ac:dyDescent="0.25">
      <c r="A4" s="87" t="s">
        <v>47</v>
      </c>
      <c r="B4" s="88"/>
      <c r="C4" s="86">
        <v>44370</v>
      </c>
      <c r="D4" s="86"/>
      <c r="N4" s="85" t="s">
        <v>52</v>
      </c>
      <c r="O4" s="85"/>
      <c r="P4" s="85"/>
      <c r="Q4" s="85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98" t="s">
        <v>33</v>
      </c>
      <c r="B6" s="89" t="s">
        <v>59</v>
      </c>
      <c r="C6" s="90"/>
      <c r="D6" s="60">
        <f>'Electricity Calculations'!F7</f>
        <v>10.324999999999999</v>
      </c>
      <c r="E6" s="1"/>
      <c r="F6" s="89" t="s">
        <v>53</v>
      </c>
      <c r="G6" s="90"/>
      <c r="H6" s="58">
        <v>2394.37</v>
      </c>
      <c r="I6" s="1"/>
      <c r="J6" s="89" t="s">
        <v>42</v>
      </c>
      <c r="K6" s="90"/>
      <c r="L6" s="59">
        <v>13.22</v>
      </c>
      <c r="N6" s="91" t="s">
        <v>51</v>
      </c>
      <c r="O6" s="92"/>
      <c r="P6" s="83">
        <f>24*3600/$L$6*$L$7*$H$6/D7/10000</f>
        <v>5.9854600737864079</v>
      </c>
    </row>
    <row r="7" spans="1:29" s="7" customFormat="1" ht="15.75" thickBot="1" x14ac:dyDescent="0.3">
      <c r="A7" s="99"/>
      <c r="B7" s="89" t="s">
        <v>49</v>
      </c>
      <c r="C7" s="90"/>
      <c r="D7" s="59">
        <v>515</v>
      </c>
      <c r="E7" s="1"/>
      <c r="F7" s="89" t="s">
        <v>60</v>
      </c>
      <c r="G7" s="90"/>
      <c r="H7" s="58">
        <v>12874</v>
      </c>
      <c r="I7" s="1"/>
      <c r="J7" s="89" t="s">
        <v>41</v>
      </c>
      <c r="K7" s="90"/>
      <c r="L7" s="60">
        <f>$H$7/(24*3600/L6)</f>
        <v>1.9698412037037036</v>
      </c>
      <c r="N7" s="93"/>
      <c r="O7" s="94"/>
      <c r="P7" s="84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99"/>
      <c r="U8"/>
      <c r="V8"/>
      <c r="W8"/>
      <c r="X8"/>
      <c r="Y8"/>
      <c r="Z8"/>
      <c r="AA8"/>
      <c r="AB8"/>
      <c r="AC8"/>
    </row>
    <row r="9" spans="1:29" ht="15.75" thickBot="1" x14ac:dyDescent="0.3">
      <c r="A9" s="99"/>
      <c r="B9" s="8" t="s">
        <v>0</v>
      </c>
      <c r="C9" s="10">
        <v>1070</v>
      </c>
      <c r="D9" s="11">
        <v>1080</v>
      </c>
      <c r="E9" s="11" t="s">
        <v>11</v>
      </c>
      <c r="F9" s="11" t="s">
        <v>48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99"/>
      <c r="B10" s="27" t="s">
        <v>54</v>
      </c>
      <c r="C10" s="62">
        <f t="shared" ref="C10:Q10" si="0">$P$6*C11/100</f>
        <v>1.7956380221359223</v>
      </c>
      <c r="D10" s="28">
        <f t="shared" si="0"/>
        <v>2.1547656265631066</v>
      </c>
      <c r="E10" s="28">
        <f t="shared" si="0"/>
        <v>2.7533116339417476</v>
      </c>
      <c r="F10" s="28">
        <f t="shared" si="0"/>
        <v>1.7956380221359223</v>
      </c>
      <c r="G10" s="28">
        <f t="shared" si="0"/>
        <v>1.9153472236116504</v>
      </c>
      <c r="H10" s="28">
        <f t="shared" si="0"/>
        <v>2.5288568811747574</v>
      </c>
      <c r="I10" s="28">
        <f t="shared" si="0"/>
        <v>2.6336024324660197</v>
      </c>
      <c r="J10" s="28">
        <f t="shared" si="0"/>
        <v>2.5737478317281552</v>
      </c>
      <c r="K10" s="28">
        <f t="shared" si="0"/>
        <v>2.5737478317281552</v>
      </c>
      <c r="L10" s="28">
        <f t="shared" si="0"/>
        <v>2.5258641511378643</v>
      </c>
      <c r="M10" s="28">
        <f t="shared" si="0"/>
        <v>3.5433923636815536</v>
      </c>
      <c r="N10" s="28">
        <f t="shared" si="0"/>
        <v>3.6212033446407772</v>
      </c>
      <c r="O10" s="28">
        <f t="shared" si="0"/>
        <v>3.6247946206850488</v>
      </c>
      <c r="P10" s="28">
        <f t="shared" si="0"/>
        <v>5.746041670834952</v>
      </c>
      <c r="Q10" s="29">
        <f t="shared" si="0"/>
        <v>7.1825520885436891</v>
      </c>
    </row>
    <row r="11" spans="1:29" x14ac:dyDescent="0.25">
      <c r="A11" s="99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  <c r="S11" s="2"/>
    </row>
    <row r="12" spans="1:29" x14ac:dyDescent="0.25">
      <c r="A12" s="99"/>
      <c r="B12" s="30" t="s">
        <v>37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  <c r="S12" s="2"/>
    </row>
    <row r="13" spans="1:29" x14ac:dyDescent="0.25">
      <c r="A13" s="99"/>
      <c r="B13" s="16" t="s">
        <v>58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99"/>
      <c r="B14" s="30" t="s">
        <v>55</v>
      </c>
      <c r="C14" s="34">
        <f t="shared" ref="C14:Q14" si="2">C10-C13</f>
        <v>1.4982780221359224</v>
      </c>
      <c r="D14" s="35">
        <f t="shared" si="2"/>
        <v>1.8202356265631066</v>
      </c>
      <c r="E14" s="35">
        <f t="shared" si="2"/>
        <v>2.1585916339417475</v>
      </c>
      <c r="F14" s="35">
        <f t="shared" ref="F14" si="3">F10-F13</f>
        <v>1.5726180221359223</v>
      </c>
      <c r="G14" s="35">
        <f>G10-G13</f>
        <v>1.6923272236116504</v>
      </c>
      <c r="H14" s="35">
        <f t="shared" si="2"/>
        <v>2.2562768811747573</v>
      </c>
      <c r="I14" s="35">
        <f t="shared" si="2"/>
        <v>2.3362424324660198</v>
      </c>
      <c r="J14" s="35">
        <f t="shared" si="2"/>
        <v>2.2639978317281555</v>
      </c>
      <c r="K14" s="35">
        <f t="shared" si="2"/>
        <v>2.3061238317281552</v>
      </c>
      <c r="L14" s="35">
        <f t="shared" si="2"/>
        <v>2.1789441511378644</v>
      </c>
      <c r="M14" s="35">
        <f t="shared" si="2"/>
        <v>2.9734523636815537</v>
      </c>
      <c r="N14" s="35">
        <f t="shared" si="2"/>
        <v>3.3238433446407774</v>
      </c>
      <c r="O14" s="35">
        <f t="shared" si="2"/>
        <v>3.3274346206850489</v>
      </c>
      <c r="P14" s="35">
        <f t="shared" si="2"/>
        <v>5.2008816708349519</v>
      </c>
      <c r="Q14" s="36">
        <f t="shared" si="2"/>
        <v>6.4763220885436894</v>
      </c>
    </row>
    <row r="15" spans="1:29" ht="17.25" x14ac:dyDescent="0.25">
      <c r="A15" s="99"/>
      <c r="B15" s="16" t="s">
        <v>56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1000</v>
      </c>
      <c r="L15" s="21">
        <v>1000</v>
      </c>
      <c r="M15" s="21">
        <v>1200</v>
      </c>
      <c r="N15" s="21">
        <v>1200</v>
      </c>
      <c r="O15" s="21">
        <v>1300</v>
      </c>
      <c r="P15" s="21">
        <v>1850</v>
      </c>
      <c r="Q15" s="22">
        <v>2777</v>
      </c>
    </row>
    <row r="16" spans="1:29" x14ac:dyDescent="0.25">
      <c r="A16" s="99"/>
      <c r="B16" s="30" t="s">
        <v>70</v>
      </c>
      <c r="C16" s="80">
        <f>C11/C12*1000</f>
        <v>250</v>
      </c>
      <c r="D16" s="81">
        <f t="shared" ref="D16:Q16" si="4">D11/D12*1000</f>
        <v>266.66666666666669</v>
      </c>
      <c r="E16" s="81">
        <f t="shared" si="4"/>
        <v>191.66666666666669</v>
      </c>
      <c r="F16" s="81">
        <f t="shared" si="4"/>
        <v>333.33333333333331</v>
      </c>
      <c r="G16" s="81">
        <f t="shared" si="4"/>
        <v>355.55555555555554</v>
      </c>
      <c r="H16" s="81">
        <f t="shared" si="4"/>
        <v>384.09090909090912</v>
      </c>
      <c r="I16" s="81">
        <f t="shared" si="4"/>
        <v>366.66666666666663</v>
      </c>
      <c r="J16" s="81">
        <f t="shared" si="4"/>
        <v>344</v>
      </c>
      <c r="K16" s="81">
        <f t="shared" si="4"/>
        <v>398.14814814814815</v>
      </c>
      <c r="L16" s="81">
        <f t="shared" si="4"/>
        <v>301.42857142857144</v>
      </c>
      <c r="M16" s="81">
        <f t="shared" si="4"/>
        <v>257.39130434782606</v>
      </c>
      <c r="N16" s="81">
        <f t="shared" si="4"/>
        <v>504.16666666666663</v>
      </c>
      <c r="O16" s="81">
        <f t="shared" si="4"/>
        <v>504.66666666666669</v>
      </c>
      <c r="P16" s="81">
        <f t="shared" si="4"/>
        <v>436.36363636363632</v>
      </c>
      <c r="Q16" s="82">
        <f t="shared" si="4"/>
        <v>421.05263157894734</v>
      </c>
    </row>
    <row r="17" spans="1:29" x14ac:dyDescent="0.25">
      <c r="A17" s="99"/>
      <c r="B17" s="16" t="s">
        <v>57</v>
      </c>
      <c r="C17" s="40">
        <f t="shared" ref="C17" si="5">C15/C14</f>
        <v>400.45972185098805</v>
      </c>
      <c r="D17" s="41">
        <f t="shared" ref="D17:Q17" si="6">D15/D14</f>
        <v>384.56559677480379</v>
      </c>
      <c r="E17" s="41">
        <f t="shared" si="6"/>
        <v>440.10177055362249</v>
      </c>
      <c r="F17" s="41">
        <f t="shared" ref="F17" si="7">F15/F14</f>
        <v>381.52939337747313</v>
      </c>
      <c r="G17" s="41">
        <f t="shared" si="6"/>
        <v>472.72181693838974</v>
      </c>
      <c r="H17" s="41">
        <f t="shared" si="6"/>
        <v>421.04761517804997</v>
      </c>
      <c r="I17" s="41">
        <f t="shared" si="6"/>
        <v>428.03776958389136</v>
      </c>
      <c r="J17" s="41">
        <f t="shared" si="6"/>
        <v>441.69653609459499</v>
      </c>
      <c r="K17" s="41">
        <f t="shared" si="6"/>
        <v>433.62805858114888</v>
      </c>
      <c r="L17" s="41">
        <f t="shared" si="6"/>
        <v>458.93787570360212</v>
      </c>
      <c r="M17" s="41">
        <f t="shared" si="6"/>
        <v>403.57128792681601</v>
      </c>
      <c r="N17" s="41">
        <f t="shared" si="6"/>
        <v>361.02784505016717</v>
      </c>
      <c r="O17" s="41">
        <f t="shared" si="6"/>
        <v>390.691372842769</v>
      </c>
      <c r="P17" s="41">
        <f t="shared" si="6"/>
        <v>355.70891958074486</v>
      </c>
      <c r="Q17" s="42">
        <f t="shared" si="6"/>
        <v>428.79275644927895</v>
      </c>
    </row>
    <row r="18" spans="1:29" ht="18" thickBot="1" x14ac:dyDescent="0.3">
      <c r="A18" s="99"/>
      <c r="B18" s="9" t="s">
        <v>43</v>
      </c>
      <c r="C18" s="37">
        <f t="shared" ref="C18" si="8">C14*365/C15</f>
        <v>0.9114524634660196</v>
      </c>
      <c r="D18" s="38">
        <f t="shared" ref="D18:Q18" si="9">D14*365/D15</f>
        <v>0.94912286242219124</v>
      </c>
      <c r="E18" s="38">
        <f t="shared" si="9"/>
        <v>0.82935362777761878</v>
      </c>
      <c r="F18" s="38">
        <f t="shared" ref="F18" si="10">F14*365/F15</f>
        <v>0.95667596346601935</v>
      </c>
      <c r="G18" s="38">
        <f t="shared" si="9"/>
        <v>0.77212429577281549</v>
      </c>
      <c r="H18" s="38">
        <f t="shared" si="9"/>
        <v>0.86688532803030149</v>
      </c>
      <c r="I18" s="38">
        <f t="shared" si="9"/>
        <v>0.85272848785009725</v>
      </c>
      <c r="J18" s="38">
        <f t="shared" si="9"/>
        <v>0.82635920858077683</v>
      </c>
      <c r="K18" s="38">
        <f t="shared" si="9"/>
        <v>0.84173519858077672</v>
      </c>
      <c r="L18" s="38">
        <f t="shared" si="9"/>
        <v>0.79531461516532054</v>
      </c>
      <c r="M18" s="38">
        <f t="shared" si="9"/>
        <v>0.9044250939531393</v>
      </c>
      <c r="N18" s="38">
        <f t="shared" si="9"/>
        <v>1.0110023506615697</v>
      </c>
      <c r="O18" s="38">
        <f t="shared" si="9"/>
        <v>0.93424125888464826</v>
      </c>
      <c r="P18" s="38">
        <f t="shared" si="9"/>
        <v>1.0261198972187879</v>
      </c>
      <c r="Q18" s="39">
        <f t="shared" si="9"/>
        <v>0.85122706601312448</v>
      </c>
    </row>
    <row r="19" spans="1:29" s="7" customFormat="1" x14ac:dyDescent="0.25">
      <c r="A19" s="99"/>
      <c r="B19" s="105" t="s">
        <v>44</v>
      </c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7"/>
      <c r="U19"/>
      <c r="V19"/>
      <c r="W19"/>
      <c r="X19"/>
      <c r="Y19"/>
      <c r="Z19"/>
      <c r="AA19"/>
      <c r="AB19"/>
      <c r="AC19"/>
    </row>
    <row r="20" spans="1:29" ht="15.75" x14ac:dyDescent="0.25">
      <c r="A20" s="99"/>
      <c r="B20" s="108" t="s">
        <v>46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10"/>
    </row>
    <row r="21" spans="1:29" ht="16.5" thickBot="1" x14ac:dyDescent="0.3">
      <c r="A21" s="100"/>
      <c r="B21" s="111" t="s">
        <v>45</v>
      </c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3"/>
    </row>
    <row r="22" spans="1:29" ht="15.75" thickBot="1" x14ac:dyDescent="0.3"/>
    <row r="23" spans="1:29" ht="15.75" thickBot="1" x14ac:dyDescent="0.3">
      <c r="A23" s="98" t="s">
        <v>19</v>
      </c>
      <c r="B23" s="6" t="s">
        <v>34</v>
      </c>
      <c r="C23" s="61">
        <f>1-2/$L$7</f>
        <v>-1.5310267771631469E-2</v>
      </c>
    </row>
    <row r="24" spans="1:29" ht="15.75" customHeight="1" thickBot="1" x14ac:dyDescent="0.3">
      <c r="A24" s="99"/>
      <c r="B24" s="3" t="s">
        <v>0</v>
      </c>
      <c r="C24" s="24">
        <f>C$9</f>
        <v>1070</v>
      </c>
      <c r="D24" s="25">
        <f t="shared" ref="D24:Q24" si="11">D$9</f>
        <v>1080</v>
      </c>
      <c r="E24" s="25" t="str">
        <f t="shared" si="11"/>
        <v>1080 Ti</v>
      </c>
      <c r="F24" s="25" t="str">
        <f t="shared" si="11"/>
        <v>1660s</v>
      </c>
      <c r="G24" s="25">
        <f t="shared" si="11"/>
        <v>2060</v>
      </c>
      <c r="H24" s="25" t="str">
        <f t="shared" si="11"/>
        <v>2060s</v>
      </c>
      <c r="I24" s="25">
        <f t="shared" si="11"/>
        <v>2070</v>
      </c>
      <c r="J24" s="25" t="str">
        <f t="shared" si="11"/>
        <v>2070s</v>
      </c>
      <c r="K24" s="25">
        <f t="shared" si="11"/>
        <v>2080</v>
      </c>
      <c r="L24" s="25" t="str">
        <f t="shared" si="11"/>
        <v>2080s</v>
      </c>
      <c r="M24" s="25" t="str">
        <f t="shared" si="11"/>
        <v>2080Ti</v>
      </c>
      <c r="N24" s="25" t="str">
        <f t="shared" si="11"/>
        <v>3060 Ti</v>
      </c>
      <c r="O24" s="25">
        <f t="shared" si="11"/>
        <v>3070</v>
      </c>
      <c r="P24" s="25">
        <f t="shared" si="11"/>
        <v>3080</v>
      </c>
      <c r="Q24" s="26">
        <f t="shared" si="11"/>
        <v>3090</v>
      </c>
    </row>
    <row r="25" spans="1:29" x14ac:dyDescent="0.25">
      <c r="A25" s="99"/>
      <c r="B25" s="43" t="s">
        <v>36</v>
      </c>
      <c r="C25" s="44">
        <f t="shared" ref="C25:Q25" si="12">C$10*(1-$C$23)</f>
        <v>1.823129721075746</v>
      </c>
      <c r="D25" s="45">
        <f t="shared" si="12"/>
        <v>2.1877556652908949</v>
      </c>
      <c r="E25" s="45">
        <f t="shared" si="12"/>
        <v>2.7954655723161439</v>
      </c>
      <c r="F25" s="45">
        <f t="shared" si="12"/>
        <v>1.823129721075746</v>
      </c>
      <c r="G25" s="45">
        <f t="shared" si="12"/>
        <v>1.9446717024807958</v>
      </c>
      <c r="H25" s="45">
        <f t="shared" si="12"/>
        <v>2.5675743571816758</v>
      </c>
      <c r="I25" s="45">
        <f t="shared" si="12"/>
        <v>2.6739235909110945</v>
      </c>
      <c r="J25" s="45">
        <f t="shared" si="12"/>
        <v>2.613152600208569</v>
      </c>
      <c r="K25" s="45">
        <f t="shared" si="12"/>
        <v>2.613152600208569</v>
      </c>
      <c r="L25" s="45">
        <f t="shared" si="12"/>
        <v>2.5645358076465499</v>
      </c>
      <c r="M25" s="45">
        <f t="shared" si="12"/>
        <v>3.5976426495894724</v>
      </c>
      <c r="N25" s="45">
        <f t="shared" si="12"/>
        <v>3.676644937502755</v>
      </c>
      <c r="O25" s="45">
        <f t="shared" si="12"/>
        <v>3.6802911969449061</v>
      </c>
      <c r="P25" s="45">
        <f t="shared" si="12"/>
        <v>5.8340151074423874</v>
      </c>
      <c r="Q25" s="46">
        <f t="shared" si="12"/>
        <v>7.292518884302984</v>
      </c>
    </row>
    <row r="26" spans="1:29" x14ac:dyDescent="0.25">
      <c r="A26" s="99"/>
      <c r="B26" s="23" t="s">
        <v>18</v>
      </c>
      <c r="C26" s="51">
        <f t="shared" ref="C26:Q26" si="13">C25-C$13</f>
        <v>1.5257697210757462</v>
      </c>
      <c r="D26" s="52">
        <f t="shared" si="13"/>
        <v>1.8532256652908949</v>
      </c>
      <c r="E26" s="52">
        <f t="shared" si="13"/>
        <v>2.2007455723161442</v>
      </c>
      <c r="F26" s="52">
        <f t="shared" ref="F26" si="14">F25-F$13</f>
        <v>1.600109721075746</v>
      </c>
      <c r="G26" s="52">
        <f t="shared" si="13"/>
        <v>1.7216517024807958</v>
      </c>
      <c r="H26" s="52">
        <f t="shared" si="13"/>
        <v>2.2949943571816758</v>
      </c>
      <c r="I26" s="52">
        <f t="shared" si="13"/>
        <v>2.3765635909110947</v>
      </c>
      <c r="J26" s="52">
        <f t="shared" si="13"/>
        <v>2.3034026002085692</v>
      </c>
      <c r="K26" s="52">
        <f t="shared" si="13"/>
        <v>2.3455286002085689</v>
      </c>
      <c r="L26" s="52">
        <f t="shared" si="13"/>
        <v>2.21761580764655</v>
      </c>
      <c r="M26" s="52">
        <f t="shared" si="13"/>
        <v>3.0277026495894725</v>
      </c>
      <c r="N26" s="52">
        <f t="shared" si="13"/>
        <v>3.3792849375027552</v>
      </c>
      <c r="O26" s="52">
        <f t="shared" si="13"/>
        <v>3.3829311969449063</v>
      </c>
      <c r="P26" s="52">
        <f t="shared" si="13"/>
        <v>5.2888551074423873</v>
      </c>
      <c r="Q26" s="53">
        <f t="shared" si="13"/>
        <v>6.5862888843029843</v>
      </c>
    </row>
    <row r="27" spans="1:29" x14ac:dyDescent="0.25">
      <c r="A27" s="99"/>
      <c r="B27" s="47" t="s">
        <v>16</v>
      </c>
      <c r="C27" s="48">
        <f t="shared" ref="C27:Q27" si="15">IF(C26&gt;0,C$15/C26,"N/A")</f>
        <v>393.24413881864763</v>
      </c>
      <c r="D27" s="49">
        <f t="shared" si="15"/>
        <v>377.71978508085425</v>
      </c>
      <c r="E27" s="49">
        <f t="shared" si="15"/>
        <v>431.67188972243878</v>
      </c>
      <c r="F27" s="49">
        <f t="shared" ref="F27" si="16">IF(F26&gt;0,F$15/F26,"N/A")</f>
        <v>374.97428588623467</v>
      </c>
      <c r="G27" s="49">
        <f t="shared" si="15"/>
        <v>464.67006006339636</v>
      </c>
      <c r="H27" s="49">
        <f t="shared" si="15"/>
        <v>413.94437290322116</v>
      </c>
      <c r="I27" s="49">
        <f t="shared" si="15"/>
        <v>420.77561224298381</v>
      </c>
      <c r="J27" s="49">
        <f t="shared" si="15"/>
        <v>434.14034520472092</v>
      </c>
      <c r="K27" s="49">
        <f t="shared" si="15"/>
        <v>426.34312790348326</v>
      </c>
      <c r="L27" s="49">
        <f t="shared" si="15"/>
        <v>450.93473655441352</v>
      </c>
      <c r="M27" s="49">
        <f t="shared" si="15"/>
        <v>396.34010960842159</v>
      </c>
      <c r="N27" s="49">
        <f t="shared" si="15"/>
        <v>355.10471066899242</v>
      </c>
      <c r="O27" s="49">
        <f t="shared" si="15"/>
        <v>384.2821282247827</v>
      </c>
      <c r="P27" s="49">
        <f t="shared" si="15"/>
        <v>349.79215017569896</v>
      </c>
      <c r="Q27" s="50">
        <f t="shared" si="15"/>
        <v>421.63349479224752</v>
      </c>
    </row>
    <row r="28" spans="1:29" ht="15.75" thickBot="1" x14ac:dyDescent="0.3">
      <c r="A28" s="99"/>
      <c r="B28" s="54" t="s">
        <v>17</v>
      </c>
      <c r="C28" s="55">
        <f>C26*365/C$15</f>
        <v>0.92817658032107886</v>
      </c>
      <c r="D28" s="56">
        <f>D26*365/D$15</f>
        <v>0.96632481118739522</v>
      </c>
      <c r="E28" s="56">
        <f t="shared" ref="E28:Q28" si="17">E26*365/E15</f>
        <v>0.84554961462672906</v>
      </c>
      <c r="F28" s="56">
        <f t="shared" ref="F28" si="18">F26*365/F15</f>
        <v>0.97340008032107883</v>
      </c>
      <c r="G28" s="56">
        <f t="shared" si="17"/>
        <v>0.78550358925686314</v>
      </c>
      <c r="H28" s="56">
        <f t="shared" si="17"/>
        <v>0.88176098986453866</v>
      </c>
      <c r="I28" s="56">
        <f t="shared" si="17"/>
        <v>0.86744571068254961</v>
      </c>
      <c r="J28" s="56">
        <f t="shared" si="17"/>
        <v>0.84074194907612776</v>
      </c>
      <c r="K28" s="56">
        <f t="shared" si="17"/>
        <v>0.85611793907612765</v>
      </c>
      <c r="L28" s="56">
        <f t="shared" si="17"/>
        <v>0.80942976979099068</v>
      </c>
      <c r="M28" s="56">
        <f t="shared" si="17"/>
        <v>0.92092622258346446</v>
      </c>
      <c r="N28" s="56">
        <f t="shared" si="17"/>
        <v>1.027865835157088</v>
      </c>
      <c r="O28" s="56">
        <f t="shared" si="17"/>
        <v>0.94982298991145453</v>
      </c>
      <c r="P28" s="56">
        <f t="shared" si="17"/>
        <v>1.04347681849539</v>
      </c>
      <c r="Q28" s="57">
        <f t="shared" si="17"/>
        <v>0.86568075000741418</v>
      </c>
    </row>
    <row r="29" spans="1:29" ht="108.75" customHeight="1" thickBot="1" x14ac:dyDescent="0.3">
      <c r="A29" s="100"/>
      <c r="B29" s="101" t="s">
        <v>40</v>
      </c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3"/>
    </row>
    <row r="30" spans="1:29" ht="15.75" thickBot="1" x14ac:dyDescent="0.3"/>
    <row r="31" spans="1:29" ht="15.75" thickBot="1" x14ac:dyDescent="0.3">
      <c r="A31" s="98" t="s">
        <v>20</v>
      </c>
      <c r="B31" s="6" t="s">
        <v>34</v>
      </c>
      <c r="C31" s="61">
        <f>1-83/1405</f>
        <v>0.94092526690391454</v>
      </c>
    </row>
    <row r="32" spans="1:29" ht="15.75" customHeight="1" thickBot="1" x14ac:dyDescent="0.3">
      <c r="A32" s="99"/>
      <c r="B32" s="3" t="s">
        <v>0</v>
      </c>
      <c r="C32" s="24">
        <f>C$9</f>
        <v>1070</v>
      </c>
      <c r="D32" s="25">
        <f t="shared" ref="D32:Q32" si="19">D$9</f>
        <v>1080</v>
      </c>
      <c r="E32" s="25" t="str">
        <f t="shared" si="19"/>
        <v>1080 Ti</v>
      </c>
      <c r="F32" s="25" t="str">
        <f t="shared" si="19"/>
        <v>1660s</v>
      </c>
      <c r="G32" s="25">
        <f t="shared" si="19"/>
        <v>2060</v>
      </c>
      <c r="H32" s="25" t="str">
        <f t="shared" si="19"/>
        <v>2060s</v>
      </c>
      <c r="I32" s="25">
        <f t="shared" si="19"/>
        <v>2070</v>
      </c>
      <c r="J32" s="25" t="str">
        <f t="shared" si="19"/>
        <v>2070s</v>
      </c>
      <c r="K32" s="25">
        <f t="shared" si="19"/>
        <v>2080</v>
      </c>
      <c r="L32" s="25" t="str">
        <f t="shared" si="19"/>
        <v>2080s</v>
      </c>
      <c r="M32" s="25" t="str">
        <f t="shared" si="19"/>
        <v>2080Ti</v>
      </c>
      <c r="N32" s="25" t="str">
        <f t="shared" si="19"/>
        <v>3060 Ti</v>
      </c>
      <c r="O32" s="25">
        <f t="shared" si="19"/>
        <v>3070</v>
      </c>
      <c r="P32" s="25">
        <f t="shared" si="19"/>
        <v>3080</v>
      </c>
      <c r="Q32" s="26">
        <f t="shared" si="19"/>
        <v>3090</v>
      </c>
    </row>
    <row r="33" spans="1:17" x14ac:dyDescent="0.25">
      <c r="A33" s="99"/>
      <c r="B33" s="43" t="s">
        <v>36</v>
      </c>
      <c r="C33" s="44">
        <f t="shared" ref="C33:Q33" si="20">C$10*(1-$C$31)</f>
        <v>0.10607683689486241</v>
      </c>
      <c r="D33" s="45">
        <f t="shared" si="20"/>
        <v>0.12729220427383489</v>
      </c>
      <c r="E33" s="45">
        <f t="shared" si="20"/>
        <v>0.16265114990545571</v>
      </c>
      <c r="F33" s="45">
        <f t="shared" si="20"/>
        <v>0.10607683689486241</v>
      </c>
      <c r="G33" s="45">
        <f t="shared" si="20"/>
        <v>0.11314862602118657</v>
      </c>
      <c r="H33" s="45">
        <f t="shared" si="20"/>
        <v>0.14939154529359791</v>
      </c>
      <c r="I33" s="45">
        <f t="shared" si="20"/>
        <v>0.15557936077913156</v>
      </c>
      <c r="J33" s="45">
        <f t="shared" si="20"/>
        <v>0.15204346621596945</v>
      </c>
      <c r="K33" s="45">
        <f t="shared" si="20"/>
        <v>0.15204346621596945</v>
      </c>
      <c r="L33" s="45">
        <f t="shared" si="20"/>
        <v>0.14921475056543981</v>
      </c>
      <c r="M33" s="45">
        <f t="shared" si="20"/>
        <v>0.20932495813919519</v>
      </c>
      <c r="N33" s="45">
        <f t="shared" si="20"/>
        <v>0.21392162107130588</v>
      </c>
      <c r="O33" s="45">
        <f t="shared" si="20"/>
        <v>0.2141337747450956</v>
      </c>
      <c r="P33" s="45">
        <f t="shared" si="20"/>
        <v>0.33944587806355975</v>
      </c>
      <c r="Q33" s="46">
        <f t="shared" si="20"/>
        <v>0.42430734757944966</v>
      </c>
    </row>
    <row r="34" spans="1:17" x14ac:dyDescent="0.25">
      <c r="A34" s="99"/>
      <c r="B34" s="23" t="s">
        <v>18</v>
      </c>
      <c r="C34" s="51">
        <f t="shared" ref="C34:Q34" si="21">C33-C$13</f>
        <v>-0.19128316310513754</v>
      </c>
      <c r="D34" s="52">
        <f t="shared" si="21"/>
        <v>-0.20723779572616516</v>
      </c>
      <c r="E34" s="52">
        <f t="shared" si="21"/>
        <v>-0.43206885009454421</v>
      </c>
      <c r="F34" s="52">
        <f t="shared" ref="F34" si="22">F33-F$13</f>
        <v>-0.11694316310513758</v>
      </c>
      <c r="G34" s="52">
        <f t="shared" si="21"/>
        <v>-0.10987137397881343</v>
      </c>
      <c r="H34" s="52">
        <f t="shared" si="21"/>
        <v>-0.12318845470640208</v>
      </c>
      <c r="I34" s="52">
        <f t="shared" si="21"/>
        <v>-0.14178063922086839</v>
      </c>
      <c r="J34" s="52">
        <f t="shared" si="21"/>
        <v>-0.15770653378403052</v>
      </c>
      <c r="K34" s="52">
        <f t="shared" si="21"/>
        <v>-0.11558053378403052</v>
      </c>
      <c r="L34" s="52">
        <f t="shared" si="21"/>
        <v>-0.19770524943456014</v>
      </c>
      <c r="M34" s="52">
        <f t="shared" si="21"/>
        <v>-0.36061504186080473</v>
      </c>
      <c r="N34" s="52">
        <f t="shared" si="21"/>
        <v>-8.3438378928694074E-2</v>
      </c>
      <c r="O34" s="52">
        <f t="shared" si="21"/>
        <v>-8.3226225254904362E-2</v>
      </c>
      <c r="P34" s="52">
        <f t="shared" si="21"/>
        <v>-0.20571412193644023</v>
      </c>
      <c r="Q34" s="53">
        <f t="shared" si="21"/>
        <v>-0.28192265242055026</v>
      </c>
    </row>
    <row r="35" spans="1:17" x14ac:dyDescent="0.25">
      <c r="A35" s="99"/>
      <c r="B35" s="47" t="s">
        <v>16</v>
      </c>
      <c r="C35" s="48" t="str">
        <f t="shared" ref="C35:Q35" si="23">IF(C34&gt;0,C$15/C34,"N/A")</f>
        <v>N/A</v>
      </c>
      <c r="D35" s="49" t="str">
        <f t="shared" si="23"/>
        <v>N/A</v>
      </c>
      <c r="E35" s="49" t="str">
        <f t="shared" si="23"/>
        <v>N/A</v>
      </c>
      <c r="F35" s="49" t="str">
        <f t="shared" ref="F35" si="24">IF(F34&gt;0,F$15/F34,"N/A")</f>
        <v>N/A</v>
      </c>
      <c r="G35" s="49" t="str">
        <f t="shared" si="23"/>
        <v>N/A</v>
      </c>
      <c r="H35" s="49" t="str">
        <f t="shared" si="23"/>
        <v>N/A</v>
      </c>
      <c r="I35" s="49" t="str">
        <f t="shared" si="23"/>
        <v>N/A</v>
      </c>
      <c r="J35" s="49" t="str">
        <f t="shared" si="23"/>
        <v>N/A</v>
      </c>
      <c r="K35" s="49" t="str">
        <f t="shared" si="23"/>
        <v>N/A</v>
      </c>
      <c r="L35" s="49" t="str">
        <f t="shared" si="23"/>
        <v>N/A</v>
      </c>
      <c r="M35" s="49" t="str">
        <f t="shared" si="23"/>
        <v>N/A</v>
      </c>
      <c r="N35" s="49" t="str">
        <f t="shared" si="23"/>
        <v>N/A</v>
      </c>
      <c r="O35" s="49" t="str">
        <f t="shared" si="23"/>
        <v>N/A</v>
      </c>
      <c r="P35" s="49" t="str">
        <f t="shared" si="23"/>
        <v>N/A</v>
      </c>
      <c r="Q35" s="50" t="str">
        <f t="shared" si="23"/>
        <v>N/A</v>
      </c>
    </row>
    <row r="36" spans="1:17" ht="15.75" thickBot="1" x14ac:dyDescent="0.3">
      <c r="A36" s="99"/>
      <c r="B36" s="54" t="s">
        <v>17</v>
      </c>
      <c r="C36" s="55">
        <f t="shared" ref="C36:Q36" si="25">C34*365/C$15</f>
        <v>-0.116363924222292</v>
      </c>
      <c r="D36" s="56">
        <f t="shared" si="25"/>
        <v>-0.10805970777150041</v>
      </c>
      <c r="E36" s="56">
        <f t="shared" si="25"/>
        <v>-0.16600540029948277</v>
      </c>
      <c r="F36" s="56">
        <f t="shared" ref="F36" si="26">F34*365/F$15</f>
        <v>-7.1140424222292026E-2</v>
      </c>
      <c r="G36" s="56">
        <f t="shared" si="25"/>
        <v>-5.0128814377833626E-2</v>
      </c>
      <c r="H36" s="56">
        <f t="shared" si="25"/>
        <v>-4.7330301018775535E-2</v>
      </c>
      <c r="I36" s="56">
        <f t="shared" si="25"/>
        <v>-5.1749933315616961E-2</v>
      </c>
      <c r="J36" s="56">
        <f t="shared" si="25"/>
        <v>-5.7562884831171141E-2</v>
      </c>
      <c r="K36" s="56">
        <f t="shared" si="25"/>
        <v>-4.2186894831171134E-2</v>
      </c>
      <c r="L36" s="56">
        <f t="shared" si="25"/>
        <v>-7.2162416043614452E-2</v>
      </c>
      <c r="M36" s="56">
        <f t="shared" si="25"/>
        <v>-0.10968707523266144</v>
      </c>
      <c r="N36" s="56">
        <f t="shared" si="25"/>
        <v>-2.5379173590811113E-2</v>
      </c>
      <c r="O36" s="56">
        <f t="shared" si="25"/>
        <v>-2.3367363244646226E-2</v>
      </c>
      <c r="P36" s="56">
        <f t="shared" si="25"/>
        <v>-4.0586840273946316E-2</v>
      </c>
      <c r="Q36" s="57">
        <f t="shared" si="25"/>
        <v>-3.7055011931401094E-2</v>
      </c>
    </row>
    <row r="37" spans="1:17" ht="80.25" customHeight="1" thickBot="1" x14ac:dyDescent="0.3">
      <c r="A37" s="100"/>
      <c r="B37" s="101" t="s">
        <v>50</v>
      </c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3"/>
    </row>
    <row r="38" spans="1:17" ht="15.75" thickBot="1" x14ac:dyDescent="0.3"/>
    <row r="39" spans="1:17" ht="15.75" thickBot="1" x14ac:dyDescent="0.3">
      <c r="A39" s="98" t="s">
        <v>35</v>
      </c>
      <c r="B39" s="6" t="s">
        <v>34</v>
      </c>
      <c r="C39" s="61">
        <f>1-485/1405</f>
        <v>0.65480427046263345</v>
      </c>
    </row>
    <row r="40" spans="1:17" ht="15.75" thickBot="1" x14ac:dyDescent="0.3">
      <c r="A40" s="99"/>
      <c r="B40" s="3" t="s">
        <v>0</v>
      </c>
      <c r="C40" s="24">
        <f>C$9</f>
        <v>1070</v>
      </c>
      <c r="D40" s="25">
        <f t="shared" ref="D40:Q40" si="27">D$9</f>
        <v>1080</v>
      </c>
      <c r="E40" s="25" t="str">
        <f t="shared" si="27"/>
        <v>1080 Ti</v>
      </c>
      <c r="F40" s="25" t="str">
        <f t="shared" si="27"/>
        <v>1660s</v>
      </c>
      <c r="G40" s="25">
        <f t="shared" si="27"/>
        <v>2060</v>
      </c>
      <c r="H40" s="25" t="str">
        <f t="shared" si="27"/>
        <v>2060s</v>
      </c>
      <c r="I40" s="25">
        <f t="shared" si="27"/>
        <v>2070</v>
      </c>
      <c r="J40" s="25" t="str">
        <f t="shared" si="27"/>
        <v>2070s</v>
      </c>
      <c r="K40" s="25">
        <f t="shared" si="27"/>
        <v>2080</v>
      </c>
      <c r="L40" s="25" t="str">
        <f t="shared" si="27"/>
        <v>2080s</v>
      </c>
      <c r="M40" s="25" t="str">
        <f t="shared" si="27"/>
        <v>2080Ti</v>
      </c>
      <c r="N40" s="25" t="str">
        <f t="shared" si="27"/>
        <v>3060 Ti</v>
      </c>
      <c r="O40" s="25">
        <f t="shared" si="27"/>
        <v>3070</v>
      </c>
      <c r="P40" s="25">
        <f t="shared" si="27"/>
        <v>3080</v>
      </c>
      <c r="Q40" s="26">
        <f t="shared" si="27"/>
        <v>3090</v>
      </c>
    </row>
    <row r="41" spans="1:17" x14ac:dyDescent="0.25">
      <c r="A41" s="99"/>
      <c r="B41" s="43" t="s">
        <v>36</v>
      </c>
      <c r="C41" s="44">
        <f t="shared" ref="C41:Q41" si="28">C$10*(1-$C$39)</f>
        <v>0.61984657703624368</v>
      </c>
      <c r="D41" s="45">
        <f t="shared" si="28"/>
        <v>0.74381589244349233</v>
      </c>
      <c r="E41" s="45">
        <f t="shared" si="28"/>
        <v>0.9504314181222403</v>
      </c>
      <c r="F41" s="45">
        <f t="shared" si="28"/>
        <v>0.61984657703624368</v>
      </c>
      <c r="G41" s="45">
        <f t="shared" si="28"/>
        <v>0.66116968217199323</v>
      </c>
      <c r="H41" s="45">
        <f t="shared" si="28"/>
        <v>0.87295059599270985</v>
      </c>
      <c r="I41" s="45">
        <f t="shared" si="28"/>
        <v>0.90910831298649075</v>
      </c>
      <c r="J41" s="45">
        <f t="shared" si="28"/>
        <v>0.88844676041861581</v>
      </c>
      <c r="K41" s="45">
        <f t="shared" si="28"/>
        <v>0.88844676041861581</v>
      </c>
      <c r="L41" s="45">
        <f t="shared" si="28"/>
        <v>0.87191751836431619</v>
      </c>
      <c r="M41" s="45">
        <f t="shared" si="28"/>
        <v>1.2231639120181876</v>
      </c>
      <c r="N41" s="45">
        <f t="shared" si="28"/>
        <v>1.2500239303564249</v>
      </c>
      <c r="O41" s="45">
        <f t="shared" si="28"/>
        <v>1.2512636235104972</v>
      </c>
      <c r="P41" s="45">
        <f t="shared" si="28"/>
        <v>1.9835090465159799</v>
      </c>
      <c r="Q41" s="46">
        <f t="shared" si="28"/>
        <v>2.4793863081449747</v>
      </c>
    </row>
    <row r="42" spans="1:17" x14ac:dyDescent="0.25">
      <c r="A42" s="99"/>
      <c r="B42" s="23" t="s">
        <v>18</v>
      </c>
      <c r="C42" s="51">
        <f>C41-C$13</f>
        <v>0.32248657703624373</v>
      </c>
      <c r="D42" s="52">
        <f>D41-D$13</f>
        <v>0.40928589244349228</v>
      </c>
      <c r="E42" s="52">
        <f t="shared" ref="E42:F42" si="29">E41-E$13</f>
        <v>0.35571141812224039</v>
      </c>
      <c r="F42" s="52">
        <f t="shared" si="29"/>
        <v>0.39682657703624369</v>
      </c>
      <c r="G42" s="52">
        <f t="shared" ref="G42" si="30">G41-G$13</f>
        <v>0.43814968217199324</v>
      </c>
      <c r="H42" s="52">
        <f t="shared" ref="H42" si="31">H41-H$13</f>
        <v>0.60037059599270992</v>
      </c>
      <c r="I42" s="52">
        <f t="shared" ref="I42" si="32">I41-I$13</f>
        <v>0.61174831298649079</v>
      </c>
      <c r="J42" s="52">
        <f t="shared" ref="J42" si="33">J41-J$13</f>
        <v>0.57869676041861584</v>
      </c>
      <c r="K42" s="52">
        <f t="shared" ref="K42" si="34">K41-K$13</f>
        <v>0.62082276041861584</v>
      </c>
      <c r="L42" s="52">
        <f t="shared" ref="L42" si="35">L41-L$13</f>
        <v>0.5249975183643163</v>
      </c>
      <c r="M42" s="52">
        <f t="shared" ref="M42" si="36">M41-M$13</f>
        <v>0.65322391201818775</v>
      </c>
      <c r="N42" s="52">
        <f t="shared" ref="N42" si="37">N41-N$13</f>
        <v>0.95266393035642494</v>
      </c>
      <c r="O42" s="52">
        <f t="shared" ref="O42" si="38">O41-O$13</f>
        <v>0.95390362351049729</v>
      </c>
      <c r="P42" s="52">
        <f t="shared" ref="P42" si="39">P41-P$13</f>
        <v>1.4383490465159801</v>
      </c>
      <c r="Q42" s="53">
        <f>Q41-Q$13</f>
        <v>1.7731563081449748</v>
      </c>
    </row>
    <row r="43" spans="1:17" x14ac:dyDescent="0.25">
      <c r="A43" s="99"/>
      <c r="B43" s="47" t="s">
        <v>16</v>
      </c>
      <c r="C43" s="48">
        <f>IF(C42&gt;0,C$15/C42,"N/A")</f>
        <v>1860.5425550241337</v>
      </c>
      <c r="D43" s="49">
        <f>IF(D42&gt;0,D$15/D42,"N/A")</f>
        <v>1710.2959396447923</v>
      </c>
      <c r="E43" s="49">
        <f t="shared" ref="E43:F43" si="40">IF(E42&gt;0,E$15/E42,"N/A")</f>
        <v>2670.7042608160868</v>
      </c>
      <c r="F43" s="49">
        <f t="shared" si="40"/>
        <v>1511.9955031267971</v>
      </c>
      <c r="G43" s="49">
        <f t="shared" ref="G43" si="41">IF(G42&gt;0,G$15/G42,"N/A")</f>
        <v>1825.860048635079</v>
      </c>
      <c r="H43" s="49">
        <f t="shared" ref="H43" si="42">IF(H42&gt;0,H$15/H42,"N/A")</f>
        <v>1582.3559753608179</v>
      </c>
      <c r="I43" s="49">
        <f t="shared" ref="I43" si="43">IF(I42&gt;0,I$15/I42,"N/A")</f>
        <v>1634.6591870733657</v>
      </c>
      <c r="J43" s="49">
        <f t="shared" ref="J43" si="44">IF(J42&gt;0,J$15/J42,"N/A")</f>
        <v>1728.0207327869316</v>
      </c>
      <c r="K43" s="49">
        <f t="shared" ref="K43" si="45">IF(K42&gt;0,K$15/K42,"N/A")</f>
        <v>1610.7656866924594</v>
      </c>
      <c r="L43" s="49">
        <f t="shared" ref="L43" si="46">IF(L42&gt;0,L$15/L42,"N/A")</f>
        <v>1904.7709084713442</v>
      </c>
      <c r="M43" s="49">
        <f t="shared" ref="M43" si="47">IF(M42&gt;0,M$15/M42,"N/A")</f>
        <v>1837.0423646809004</v>
      </c>
      <c r="N43" s="49">
        <f t="shared" ref="N43" si="48">IF(N42&gt;0,N$15/N42,"N/A")</f>
        <v>1259.6257313437259</v>
      </c>
      <c r="O43" s="49">
        <f t="shared" ref="O43" si="49">IF(O42&gt;0,O$15/O42,"N/A")</f>
        <v>1362.8211152147846</v>
      </c>
      <c r="P43" s="49">
        <f t="shared" ref="P43" si="50">IF(P42&gt;0,P$15/P42,"N/A")</f>
        <v>1286.1968410804982</v>
      </c>
      <c r="Q43" s="50">
        <f>IF(Q42&gt;0,Q$15/Q42,"N/A")</f>
        <v>1566.1337848467615</v>
      </c>
    </row>
    <row r="44" spans="1:17" ht="15.75" thickBot="1" x14ac:dyDescent="0.3">
      <c r="A44" s="99"/>
      <c r="B44" s="54" t="s">
        <v>17</v>
      </c>
      <c r="C44" s="13">
        <f t="shared" ref="C44:Q44" si="51">C42*365/C$15</f>
        <v>0.19617933436371493</v>
      </c>
      <c r="D44" s="14">
        <f t="shared" si="51"/>
        <v>0.21341335820267812</v>
      </c>
      <c r="E44" s="14">
        <f>E42*365/E$15</f>
        <v>0.13666807117328181</v>
      </c>
      <c r="F44" s="14">
        <f>F42*365/F$15</f>
        <v>0.2414028343637149</v>
      </c>
      <c r="G44" s="14">
        <f t="shared" si="51"/>
        <v>0.1999057924909719</v>
      </c>
      <c r="H44" s="14">
        <f t="shared" si="51"/>
        <v>0.2306687026708833</v>
      </c>
      <c r="I44" s="14">
        <f t="shared" si="51"/>
        <v>0.22328813424006913</v>
      </c>
      <c r="J44" s="14">
        <f t="shared" si="51"/>
        <v>0.21122431755279478</v>
      </c>
      <c r="K44" s="14">
        <f t="shared" si="51"/>
        <v>0.22660030755279478</v>
      </c>
      <c r="L44" s="14">
        <f t="shared" si="51"/>
        <v>0.19162409420297544</v>
      </c>
      <c r="M44" s="14">
        <f t="shared" si="51"/>
        <v>0.1986889399055321</v>
      </c>
      <c r="N44" s="14">
        <f t="shared" si="51"/>
        <v>0.28976861215007926</v>
      </c>
      <c r="O44" s="14">
        <f t="shared" si="51"/>
        <v>0.26782678660102421</v>
      </c>
      <c r="P44" s="14">
        <f t="shared" si="51"/>
        <v>0.28378237944774742</v>
      </c>
      <c r="Q44" s="15">
        <f t="shared" si="51"/>
        <v>0.23305799512888581</v>
      </c>
    </row>
    <row r="45" spans="1:17" ht="74.25" customHeight="1" thickBot="1" x14ac:dyDescent="0.3">
      <c r="A45" s="100"/>
      <c r="B45" s="101" t="s">
        <v>39</v>
      </c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3"/>
    </row>
  </sheetData>
  <mergeCells count="25"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  <mergeCell ref="P6:P7"/>
    <mergeCell ref="N4:Q4"/>
    <mergeCell ref="C4:D4"/>
    <mergeCell ref="A4:B4"/>
    <mergeCell ref="J7:K7"/>
    <mergeCell ref="F6:G6"/>
    <mergeCell ref="J6:K6"/>
    <mergeCell ref="F7:G7"/>
    <mergeCell ref="N6:O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66</v>
      </c>
      <c r="B1" s="95" t="s">
        <v>65</v>
      </c>
      <c r="C1" s="97"/>
      <c r="D1" s="95" t="s">
        <v>64</v>
      </c>
      <c r="E1" s="96"/>
      <c r="F1" s="96"/>
      <c r="G1" s="114" t="s">
        <v>63</v>
      </c>
      <c r="H1" s="115"/>
      <c r="I1" s="79" t="s">
        <v>69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62</v>
      </c>
      <c r="D3" s="69" t="s">
        <v>61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/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67</v>
      </c>
      <c r="B1" s="118" t="s">
        <v>65</v>
      </c>
      <c r="C1" s="119"/>
      <c r="D1" s="118" t="s">
        <v>64</v>
      </c>
      <c r="E1" s="119"/>
      <c r="F1" s="116" t="s">
        <v>63</v>
      </c>
      <c r="G1" s="117"/>
    </row>
    <row r="2" spans="1:10" ht="6" customHeight="1" x14ac:dyDescent="0.25"/>
    <row r="3" spans="1:10" x14ac:dyDescent="0.25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I3" t="s">
        <v>31</v>
      </c>
      <c r="J3" t="s">
        <v>22</v>
      </c>
    </row>
    <row r="4" spans="1:10" x14ac:dyDescent="0.25">
      <c r="A4" t="s">
        <v>27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28</v>
      </c>
      <c r="I4" s="2">
        <f>MAX(C880:C1334)</f>
        <v>1405.21</v>
      </c>
      <c r="J4" s="5">
        <v>43109</v>
      </c>
    </row>
    <row r="5" spans="1:10" x14ac:dyDescent="0.25">
      <c r="A5" t="s">
        <v>27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29</v>
      </c>
      <c r="I5" s="2">
        <f>MIN(C880:C1334)</f>
        <v>83.149241079000006</v>
      </c>
      <c r="J5" s="5">
        <v>43449</v>
      </c>
    </row>
    <row r="6" spans="1:10" x14ac:dyDescent="0.25">
      <c r="A6" t="s">
        <v>27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27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30</v>
      </c>
      <c r="J7" t="s">
        <v>32</v>
      </c>
    </row>
    <row r="8" spans="1:10" x14ac:dyDescent="0.25">
      <c r="A8" t="s">
        <v>27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27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27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27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27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27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27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27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27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27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27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27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27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27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27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27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27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27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27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27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27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27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27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27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27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27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27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27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27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27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27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27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27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27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27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27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27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27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27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27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27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27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27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27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27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27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27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27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27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27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27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27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27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27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27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27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27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27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27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27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27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27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27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27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27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27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27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27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27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27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27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27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27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27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27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27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27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27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27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27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27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27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27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27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27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27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27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27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27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27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27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27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27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27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27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27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27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27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27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27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27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27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27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27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27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27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27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27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27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27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27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27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27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27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27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27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27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27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27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27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27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27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27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27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27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27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27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27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27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27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27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27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27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27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27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27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27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27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27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27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27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27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27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27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27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27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27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27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27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27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27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27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27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27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27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27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27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27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27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27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27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27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27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27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27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27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27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27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27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27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27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27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27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27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27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27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27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27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27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27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27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27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27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27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27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27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27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27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27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27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27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27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27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27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27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27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27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27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27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27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27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27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27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27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27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27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27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27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27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27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27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27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27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27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27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27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27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27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27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27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27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27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27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27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27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27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27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27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27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27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27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27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27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27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27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27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27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27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27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27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27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27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27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27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27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27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27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27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27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27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27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27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27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27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27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27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27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27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27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27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27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27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27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27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27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27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27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27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27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27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27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27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27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27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27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27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27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27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27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27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27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27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27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27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27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27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27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27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27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27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27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27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27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27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27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27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27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27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27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27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27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27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27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27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27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27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27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27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27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27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27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27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27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27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27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27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27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27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27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27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27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27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27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27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27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27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27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27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27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27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27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27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27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27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27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27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27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27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27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27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27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27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27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27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27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27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27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27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27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27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27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27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27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27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27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27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27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27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27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27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27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27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27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27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27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27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27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27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27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27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27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27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27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27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27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27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27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27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27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27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27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27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27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27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27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27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27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27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27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27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27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27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27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27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27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27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27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27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27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27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27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27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27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27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27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27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27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27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27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27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27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27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27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27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27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27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27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27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27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27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27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27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27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27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27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27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27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27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27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27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27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27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27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27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27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27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27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27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27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27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27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27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27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27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27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27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27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27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27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27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27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27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27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27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27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27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27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27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27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27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27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27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27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27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27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27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27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27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27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27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27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27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27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27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27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27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27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27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27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27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27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27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27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27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27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27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27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27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27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27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27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27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27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27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27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27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27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27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27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27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27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27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27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27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27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27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27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27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27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27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27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27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27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27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27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27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27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27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27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27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27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27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27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27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27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27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27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27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27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27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27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27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27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27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27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27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27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27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27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27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27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27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27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27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27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27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27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27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27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27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27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27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27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27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27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27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27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27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27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27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27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27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27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27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27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27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27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27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27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27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27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27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27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27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27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27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27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27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27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27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27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27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27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27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27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27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27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27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27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27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27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27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27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27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27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27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27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27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27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27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27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27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27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27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27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27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27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27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27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27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27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27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27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27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27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27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27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27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27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27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27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27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27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27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27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27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27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27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27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27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27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27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27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27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27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27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27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27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27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27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27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27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27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27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27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27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27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27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27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27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27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27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27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27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27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27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27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27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27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27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27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27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27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27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27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27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27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27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27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27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27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27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27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27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27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27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27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27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27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27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27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27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27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27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27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27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27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27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27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27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27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27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27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27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27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27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27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27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27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27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27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27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27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27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27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27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27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27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27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27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27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27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27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27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27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27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27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27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27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27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27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27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27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27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27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27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27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27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27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27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27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27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27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27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27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27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27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27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27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27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27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27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27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27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27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27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27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27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27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27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27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27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27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27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27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27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27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27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27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27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27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27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27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27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27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27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27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27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27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27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27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27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27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27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27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27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27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27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27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27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27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27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27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27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27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27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27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27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27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27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27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27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27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27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27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27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27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27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27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27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27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27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27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27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27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27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27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27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27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27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27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27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27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27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27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27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27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27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27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27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27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27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27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27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27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27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27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27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27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27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27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27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27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27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27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27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27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27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27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27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27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27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27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27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27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27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27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27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27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27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27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27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27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27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27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27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27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27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27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27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27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27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27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27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27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27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27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27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27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27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27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27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27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27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27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27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27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27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27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27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27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27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27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27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27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27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27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27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27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27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27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27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27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27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27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27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27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27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27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27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27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27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27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27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27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27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27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27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27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27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27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27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27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27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27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27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27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27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27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27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27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27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27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27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27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27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27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27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27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27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27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27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27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27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27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27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27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27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27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27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27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27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27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27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27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27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27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27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27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27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27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27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27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27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27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27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27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27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27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27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27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27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27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27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27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27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27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27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27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27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27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27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27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27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27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27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27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27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27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27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27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27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27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27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27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27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27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27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27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27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27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27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27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27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27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27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27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27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27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27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27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27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27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27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27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27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27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27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27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27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27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27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27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27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27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27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27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27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27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27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27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27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27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27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27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27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27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27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27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27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27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27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27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27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27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27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27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27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27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27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27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27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27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27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27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27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27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27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27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27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27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27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27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27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27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27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27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27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27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27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27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27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27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27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27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27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27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27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27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27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27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27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27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27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27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27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27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27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27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27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27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27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27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27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27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27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27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27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27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27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27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27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27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27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27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27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27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27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27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27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27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27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27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27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27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27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27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27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27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27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27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27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27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27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27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27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27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27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27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27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27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27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27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27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27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27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27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27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27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27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27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27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27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27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27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27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27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27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27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27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27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27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27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27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27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27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27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27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27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27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27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27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27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27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27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27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27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27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27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27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27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27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27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27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27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27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27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27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27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27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27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27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27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27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27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27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27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27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27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27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27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27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27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27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27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27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27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27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27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27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27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27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27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27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27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27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27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27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27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27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27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27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27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27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27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27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27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27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27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27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27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27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27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27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27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27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27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27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27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27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27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27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27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27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27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27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27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27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27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27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27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27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27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27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27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27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27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27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27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27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27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27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27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27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27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27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27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27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27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27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27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27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27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27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27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27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27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27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27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27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27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27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27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27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27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27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27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27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27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27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27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27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27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27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27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27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27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27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27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27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27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27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27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27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27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27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27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27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27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27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27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27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27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27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27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27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27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27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27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27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27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27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27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27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27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27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27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27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27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27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27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27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27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27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27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27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27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27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27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27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27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27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27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27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27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27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27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27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27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27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27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27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27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27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27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27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27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27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27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27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27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27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27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27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27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27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27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27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27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27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27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27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27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27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27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27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27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27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27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27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27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27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27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27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27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27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27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27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27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27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27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27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27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27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27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27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27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27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27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27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27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27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27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27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27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27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27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27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27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27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27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27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27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27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27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27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27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27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27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27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27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27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27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27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27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27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27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27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27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27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27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27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27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27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27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27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27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27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27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27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27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27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27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27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27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27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27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27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27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27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27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27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27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27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27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27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27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27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27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27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27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27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27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27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27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27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27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27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27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27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27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27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27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27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27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27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27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27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27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27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27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27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27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27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27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27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27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27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27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27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27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27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27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27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27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27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27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27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27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27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27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27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27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27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27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27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27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27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27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27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27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27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27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27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27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27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27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27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27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27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27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27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27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27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27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27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27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27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27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27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27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27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27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27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27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27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27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27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27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27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27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27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27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27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27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27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27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27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27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27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27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27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27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27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27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27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27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27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27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27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27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27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27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27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27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27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27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27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27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27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27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27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27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27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27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27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27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27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27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27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27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27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27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27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27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27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27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27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27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27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27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27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27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27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27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27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27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27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27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27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27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27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27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27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27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27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27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27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27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27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27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27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27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27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27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27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27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27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27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27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27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27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27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27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27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27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27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27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27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27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27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27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27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27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27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27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27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27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27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27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27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27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27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27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27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27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27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27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27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27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27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27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27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27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27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27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27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27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27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27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27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27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27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27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27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27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27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27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27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27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27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27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27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27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27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27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27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27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27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27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27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27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27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27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27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27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27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27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27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27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27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27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27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27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27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27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27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27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27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27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27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27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27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27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27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27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27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27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27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27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27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27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27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27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27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27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27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27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27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27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27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27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27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27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27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27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27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27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27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27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27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27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27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27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27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27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27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27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27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27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27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27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27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27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27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27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27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27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27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27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27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27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27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27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27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27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27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27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27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27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27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27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27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27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27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27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27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27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27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27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27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27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27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27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27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27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27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27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27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27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27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27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27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27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27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27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27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27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27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27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27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27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27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27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27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27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27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27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27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27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27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27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27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27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27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27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27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27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27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27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27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27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27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27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27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27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27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27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27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27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27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27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27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27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27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27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27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27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27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27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27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27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27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27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27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27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27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27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27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27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27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27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27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27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27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27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27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27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27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27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27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27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27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27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27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27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27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27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27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27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27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27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27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27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27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27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27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27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27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27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27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27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27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27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27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27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27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27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27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27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27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27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27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27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27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27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27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27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27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27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27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27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27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27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27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27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27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27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27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27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27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27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27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27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27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27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27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27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27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27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27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27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27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27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27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27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27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27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27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27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27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27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27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27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27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27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27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27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27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27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27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27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27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27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27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27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27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27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27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27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27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27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27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27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27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27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27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27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27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27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27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27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27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27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27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27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27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27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27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27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27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27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27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27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27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27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27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27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27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27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27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27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27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27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27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27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27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27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27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27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27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27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27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27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27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27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27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27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27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27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27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27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27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27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27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27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27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27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27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27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27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27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27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27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27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27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27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27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27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27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27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27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27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27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27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27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27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27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27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27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27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27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27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27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27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27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27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27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27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27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27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27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27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27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27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27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27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27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27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27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27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27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27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27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27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27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27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27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27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27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27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27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27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27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27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27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27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27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27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27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27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27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27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27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27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27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27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27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27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27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27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27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27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27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27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27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27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27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27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27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27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27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27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27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27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27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27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27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27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27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27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27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27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27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27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27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27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27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27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27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27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27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27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27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27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27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27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27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27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2021-06-21T03:58:27Z</cp:lastPrinted>
  <dcterms:created xsi:type="dcterms:W3CDTF">2021-03-17T05:33:13Z</dcterms:created>
  <dcterms:modified xsi:type="dcterms:W3CDTF">2021-06-23T18:23:26Z</dcterms:modified>
</cp:coreProperties>
</file>