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381C48E7-9B48-46CD-9BE1-58396877B8D3}" xr6:coauthVersionLast="47" xr6:coauthVersionMax="47" xr10:uidLastSave="{00000000-0000-0000-0000-000000000000}"/>
  <bookViews>
    <workbookView xWindow="-60" yWindow="-60" windowWidth="38520" windowHeight="21120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History'!$A$1:$F$2094</definedName>
    <definedName name="Bear">'ETH Price History'!$C$886:$C$1226</definedName>
    <definedName name="_xlnm.Print_Area" localSheetId="0">'Scenario Analysis'!$A$2:$Q$44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3" l="1"/>
  <c r="P5" i="3" s="1"/>
  <c r="Q9" i="3" s="1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F15" i="3"/>
  <c r="N15" i="3"/>
  <c r="C15" i="3"/>
  <c r="C38" i="3"/>
  <c r="C30" i="3"/>
  <c r="J6" i="5"/>
  <c r="I2" i="5"/>
  <c r="I3" i="5"/>
  <c r="Q15" i="3"/>
  <c r="P15" i="3"/>
  <c r="O15" i="3"/>
  <c r="M15" i="3"/>
  <c r="L15" i="3"/>
  <c r="K15" i="3"/>
  <c r="J15" i="3"/>
  <c r="I15" i="3"/>
  <c r="H15" i="3"/>
  <c r="G15" i="3"/>
  <c r="E15" i="3"/>
  <c r="D15" i="3"/>
  <c r="E6" i="1"/>
  <c r="F6" i="1" s="1"/>
  <c r="E5" i="1"/>
  <c r="E4" i="1"/>
  <c r="F4" i="1" s="1"/>
  <c r="F5" i="1" l="1"/>
  <c r="C22" i="3"/>
  <c r="F9" i="3"/>
  <c r="G9" i="3"/>
  <c r="G32" i="3" s="1"/>
  <c r="H9" i="3"/>
  <c r="I9" i="3"/>
  <c r="J9" i="3"/>
  <c r="J32" i="3" s="1"/>
  <c r="K9" i="3"/>
  <c r="K40" i="3" s="1"/>
  <c r="L9" i="3"/>
  <c r="L24" i="3" s="1"/>
  <c r="M9" i="3"/>
  <c r="M24" i="3" s="1"/>
  <c r="N9" i="3"/>
  <c r="N40" i="3" s="1"/>
  <c r="C9" i="3"/>
  <c r="C24" i="3" s="1"/>
  <c r="O9" i="3"/>
  <c r="O24" i="3" s="1"/>
  <c r="D9" i="3"/>
  <c r="D24" i="3" s="1"/>
  <c r="P9" i="3"/>
  <c r="P24" i="3" s="1"/>
  <c r="E9" i="3"/>
  <c r="E24" i="3" s="1"/>
  <c r="Q24" i="3"/>
  <c r="I24" i="3"/>
  <c r="H40" i="3"/>
  <c r="Q32" i="3"/>
  <c r="Q40" i="3"/>
  <c r="F7" i="1"/>
  <c r="D5" i="3" s="1"/>
  <c r="P12" i="3" s="1"/>
  <c r="O12" i="3" l="1"/>
  <c r="G12" i="3"/>
  <c r="J12" i="3"/>
  <c r="M12" i="3"/>
  <c r="I12" i="3"/>
  <c r="I13" i="3" s="1"/>
  <c r="I17" i="3" s="1"/>
  <c r="L12" i="3"/>
  <c r="L25" i="3" s="1"/>
  <c r="L26" i="3" s="1"/>
  <c r="D12" i="3"/>
  <c r="C12" i="3"/>
  <c r="N12" i="3"/>
  <c r="H12" i="3"/>
  <c r="F12" i="3"/>
  <c r="F13" i="3" s="1"/>
  <c r="Q12" i="3"/>
  <c r="Q41" i="3" s="1"/>
  <c r="E12" i="3"/>
  <c r="K12" i="3"/>
  <c r="I32" i="3"/>
  <c r="F24" i="3"/>
  <c r="K24" i="3"/>
  <c r="M32" i="3"/>
  <c r="K32" i="3"/>
  <c r="F40" i="3"/>
  <c r="F41" i="3" s="1"/>
  <c r="F32" i="3"/>
  <c r="F33" i="3" s="1"/>
  <c r="H32" i="3"/>
  <c r="M40" i="3"/>
  <c r="D32" i="3"/>
  <c r="D40" i="3"/>
  <c r="O40" i="3"/>
  <c r="C32" i="3"/>
  <c r="C40" i="3"/>
  <c r="P32" i="3"/>
  <c r="O32" i="3"/>
  <c r="N32" i="3"/>
  <c r="G24" i="3"/>
  <c r="N24" i="3"/>
  <c r="P40" i="3"/>
  <c r="I40" i="3"/>
  <c r="L32" i="3"/>
  <c r="J40" i="3"/>
  <c r="E40" i="3"/>
  <c r="L40" i="3"/>
  <c r="J24" i="3"/>
  <c r="H24" i="3"/>
  <c r="E32" i="3"/>
  <c r="G40" i="3"/>
  <c r="M33" i="3"/>
  <c r="M34" i="3" s="1"/>
  <c r="G13" i="3"/>
  <c r="J13" i="3"/>
  <c r="J17" i="3" s="1"/>
  <c r="E25" i="3"/>
  <c r="E26" i="3" s="1"/>
  <c r="K13" i="3"/>
  <c r="K17" i="3" s="1"/>
  <c r="H41" i="3"/>
  <c r="H43" i="3" s="1"/>
  <c r="F17" i="3" l="1"/>
  <c r="F16" i="3"/>
  <c r="Q13" i="3"/>
  <c r="F25" i="3"/>
  <c r="Q25" i="3"/>
  <c r="Q27" i="3" s="1"/>
  <c r="Q33" i="3"/>
  <c r="Q35" i="3" s="1"/>
  <c r="F27" i="3"/>
  <c r="F26" i="3"/>
  <c r="D33" i="3"/>
  <c r="D35" i="3" s="1"/>
  <c r="F35" i="3"/>
  <c r="F34" i="3"/>
  <c r="C33" i="3"/>
  <c r="C35" i="3" s="1"/>
  <c r="F43" i="3"/>
  <c r="F42" i="3"/>
  <c r="O33" i="3"/>
  <c r="O35" i="3" s="1"/>
  <c r="P33" i="3"/>
  <c r="P34" i="3" s="1"/>
  <c r="L41" i="3"/>
  <c r="L43" i="3" s="1"/>
  <c r="P41" i="3"/>
  <c r="P43" i="3" s="1"/>
  <c r="N25" i="3"/>
  <c r="N26" i="3" s="1"/>
  <c r="P25" i="3"/>
  <c r="P26" i="3" s="1"/>
  <c r="G16" i="3"/>
  <c r="P13" i="3"/>
  <c r="P17" i="3" s="1"/>
  <c r="O41" i="3"/>
  <c r="O42" i="3" s="1"/>
  <c r="H25" i="3"/>
  <c r="H26" i="3" s="1"/>
  <c r="O25" i="3"/>
  <c r="O26" i="3" s="1"/>
  <c r="M35" i="3"/>
  <c r="M41" i="3"/>
  <c r="M42" i="3" s="1"/>
  <c r="O13" i="3"/>
  <c r="O17" i="3" s="1"/>
  <c r="L27" i="3"/>
  <c r="M25" i="3"/>
  <c r="M26" i="3" s="1"/>
  <c r="M13" i="3"/>
  <c r="M17" i="3" s="1"/>
  <c r="I16" i="3"/>
  <c r="I25" i="3"/>
  <c r="I26" i="3" s="1"/>
  <c r="H33" i="3"/>
  <c r="H35" i="3" s="1"/>
  <c r="L33" i="3"/>
  <c r="L35" i="3" s="1"/>
  <c r="N41" i="3"/>
  <c r="N43" i="3" s="1"/>
  <c r="G33" i="3"/>
  <c r="G35" i="3" s="1"/>
  <c r="H13" i="3"/>
  <c r="H16" i="3" s="1"/>
  <c r="L13" i="3"/>
  <c r="L16" i="3" s="1"/>
  <c r="Q42" i="3"/>
  <c r="Q43" i="3"/>
  <c r="I33" i="3"/>
  <c r="I35" i="3" s="1"/>
  <c r="J16" i="3"/>
  <c r="G41" i="3"/>
  <c r="G43" i="3" s="1"/>
  <c r="E33" i="3"/>
  <c r="E35" i="3" s="1"/>
  <c r="E41" i="3"/>
  <c r="E43" i="3" s="1"/>
  <c r="K33" i="3"/>
  <c r="K34" i="3" s="1"/>
  <c r="K25" i="3"/>
  <c r="K26" i="3" s="1"/>
  <c r="J41" i="3"/>
  <c r="J43" i="3" s="1"/>
  <c r="N33" i="3"/>
  <c r="G25" i="3"/>
  <c r="G26" i="3" s="1"/>
  <c r="G17" i="3"/>
  <c r="K41" i="3"/>
  <c r="K42" i="3" s="1"/>
  <c r="D41" i="3"/>
  <c r="E13" i="3"/>
  <c r="E16" i="3" s="1"/>
  <c r="N13" i="3"/>
  <c r="N17" i="3" s="1"/>
  <c r="J33" i="3"/>
  <c r="J34" i="3" s="1"/>
  <c r="I41" i="3"/>
  <c r="I42" i="3" s="1"/>
  <c r="C13" i="3"/>
  <c r="C25" i="3"/>
  <c r="C41" i="3"/>
  <c r="J25" i="3"/>
  <c r="J26" i="3" s="1"/>
  <c r="K16" i="3"/>
  <c r="D13" i="3"/>
  <c r="D25" i="3"/>
  <c r="H42" i="3"/>
  <c r="Q16" i="3"/>
  <c r="Q17" i="3"/>
  <c r="E27" i="3"/>
  <c r="Q26" i="3" l="1"/>
  <c r="Q34" i="3"/>
  <c r="D34" i="3"/>
  <c r="P35" i="3"/>
  <c r="O34" i="3"/>
  <c r="C34" i="3"/>
  <c r="L42" i="3"/>
  <c r="P27" i="3"/>
  <c r="N27" i="3"/>
  <c r="O43" i="3"/>
  <c r="P42" i="3"/>
  <c r="P16" i="3"/>
  <c r="M43" i="3"/>
  <c r="O16" i="3"/>
  <c r="O27" i="3"/>
  <c r="H27" i="3"/>
  <c r="N42" i="3"/>
  <c r="M16" i="3"/>
  <c r="M27" i="3"/>
  <c r="L34" i="3"/>
  <c r="I27" i="3"/>
  <c r="H34" i="3"/>
  <c r="G34" i="3"/>
  <c r="H17" i="3"/>
  <c r="J35" i="3"/>
  <c r="G42" i="3"/>
  <c r="E17" i="3"/>
  <c r="K35" i="3"/>
  <c r="I43" i="3"/>
  <c r="L17" i="3"/>
  <c r="I34" i="3"/>
  <c r="N16" i="3"/>
  <c r="E34" i="3"/>
  <c r="K27" i="3"/>
  <c r="G27" i="3"/>
  <c r="K43" i="3"/>
  <c r="C27" i="3"/>
  <c r="C26" i="3"/>
  <c r="E42" i="3"/>
  <c r="N34" i="3"/>
  <c r="N35" i="3"/>
  <c r="C16" i="3"/>
  <c r="C17" i="3"/>
  <c r="J27" i="3"/>
  <c r="C43" i="3"/>
  <c r="C42" i="3"/>
  <c r="J42" i="3"/>
  <c r="D26" i="3"/>
  <c r="D27" i="3"/>
  <c r="D17" i="3"/>
  <c r="D16" i="3"/>
  <c r="D42" i="3"/>
  <c r="D43" i="3"/>
</calcChain>
</file>

<file path=xl/sharedStrings.xml><?xml version="1.0" encoding="utf-8"?>
<sst xmlns="http://schemas.openxmlformats.org/spreadsheetml/2006/main" count="2171" uniqueCount="65">
  <si>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</si>
  <si>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</si>
  <si>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</si>
  <si>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</si>
  <si>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</si>
  <si>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</si>
  <si>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</si>
  <si>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</si>
  <si>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</si>
  <si>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</si>
  <si>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</si>
  <si>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</si>
  <si>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</si>
  <si>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</si>
  <si>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</si>
  <si>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</si>
  <si>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Efficiency (MH/s/W)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</si>
  <si>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</si>
  <si>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</si>
  <si>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</si>
  <si>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</si>
  <si>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</si>
  <si>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</si>
  <si>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</si>
  <si>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</si>
  <si>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</si>
  <si>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</si>
  <si>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</si>
  <si>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</si>
  <si>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</si>
  <si>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</si>
  <si>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</si>
  <si>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</si>
  <si>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</si>
  <si>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</si>
  <si>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</si>
  <si>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</si>
  <si>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</si>
  <si>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</si>
  <si>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</si>
  <si>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</si>
  <si>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</si>
  <si>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</si>
  <si>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</si>
  <si>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</si>
  <si>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</si>
  <si>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</si>
  <si>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</si>
  <si>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</si>
  <si>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</si>
  <si>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</si>
  <si>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</si>
  <si>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</si>
  <si>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</si>
  <si>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</si>
  <si>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</si>
  <si>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</si>
  <si>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</si>
  <si>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</si>
  <si>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</si>
  <si>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</si>
  <si>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</si>
  <si>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</si>
  <si>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</si>
  <si>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&lt; Go to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</si>
</sst>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2" fillId="2" borderId="9" xfId="5" applyFont="1" applyFill="1" applyBorder="1" applyAlignment="1">
      <alignment horizontal="center" vertical="center" wrapText="1"/>
    </xf>
    <xf numFmtId="0" fontId="2" fillId="2" borderId="11" xfId="5" applyFont="1" applyFill="1" applyBorder="1" applyAlignment="1">
      <alignment horizontal="center" vertical="center" wrapText="1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5</xdr:col>
          <xdr:colOff>0</xdr:colOff>
          <xdr:row>2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161925</xdr:rowOff>
        </xdr:from>
        <xdr:to>
          <xdr:col>0</xdr:col>
          <xdr:colOff>714375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4"/>
  <sheetViews>
    <sheetView tabSelected="1" zoomScaleNormal="100" zoomScaleSheetLayoutView="115" workbookViewId="0">
      <selection activeCell="I5" sqref="I5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/>
    <row r="2" spans="1:29" s="7" customFormat="1" ht="31.5" x14ac:dyDescent="0.25">
      <c r="A2" s="83" t="s">
        <v>39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</row>
    <row r="3" spans="1:29" s="7" customFormat="1" x14ac:dyDescent="0.25">
      <c r="A3" s="103" t="s">
        <v>48</v>
      </c>
      <c r="B3" s="104"/>
      <c r="C3" s="102">
        <v>44363</v>
      </c>
      <c r="D3" s="102"/>
      <c r="N3" s="101" t="s">
        <v>53</v>
      </c>
      <c r="O3" s="101"/>
      <c r="P3" s="101"/>
      <c r="Q3" s="101"/>
      <c r="U3"/>
      <c r="V3"/>
      <c r="W3"/>
      <c r="X3"/>
      <c r="Y3"/>
      <c r="Z3"/>
      <c r="AA3"/>
      <c r="AB3"/>
      <c r="AC3"/>
    </row>
    <row r="4" spans="1:29" s="7" customFormat="1" ht="15.75" thickBot="1" x14ac:dyDescent="0.3">
      <c r="U4"/>
      <c r="V4"/>
      <c r="W4"/>
      <c r="X4"/>
      <c r="Y4"/>
      <c r="Z4"/>
      <c r="AA4"/>
      <c r="AB4"/>
      <c r="AC4"/>
    </row>
    <row r="5" spans="1:29" ht="15.75" thickBot="1" x14ac:dyDescent="0.3">
      <c r="A5" s="77" t="s">
        <v>34</v>
      </c>
      <c r="B5" s="93" t="s">
        <v>60</v>
      </c>
      <c r="C5" s="94"/>
      <c r="D5" s="60">
        <f>'Electricity Calculations'!F7</f>
        <v>10.324999999999999</v>
      </c>
      <c r="E5" s="1"/>
      <c r="F5" s="93" t="s">
        <v>54</v>
      </c>
      <c r="G5" s="94"/>
      <c r="H5" s="58">
        <v>2982.35</v>
      </c>
      <c r="I5" s="1"/>
      <c r="J5" s="93" t="s">
        <v>43</v>
      </c>
      <c r="K5" s="94"/>
      <c r="L5" s="59">
        <v>13.1</v>
      </c>
      <c r="N5" s="95" t="s">
        <v>52</v>
      </c>
      <c r="O5" s="96"/>
      <c r="P5" s="99">
        <f>24*3600/$L$5*$L$6*$H$5/D6/10000</f>
        <v>6.7480018010416662</v>
      </c>
    </row>
    <row r="6" spans="1:29" s="7" customFormat="1" ht="15.75" thickBot="1" x14ac:dyDescent="0.3">
      <c r="A6" s="78"/>
      <c r="B6" s="93" t="s">
        <v>50</v>
      </c>
      <c r="C6" s="94"/>
      <c r="D6" s="59">
        <v>600</v>
      </c>
      <c r="E6" s="1"/>
      <c r="F6" s="93" t="s">
        <v>61</v>
      </c>
      <c r="G6" s="94"/>
      <c r="H6" s="58">
        <v>13575.875</v>
      </c>
      <c r="I6" s="1"/>
      <c r="J6" s="93" t="s">
        <v>42</v>
      </c>
      <c r="K6" s="94"/>
      <c r="L6" s="60">
        <f>$H$6/(24*3600/L5)</f>
        <v>2.058379195601852</v>
      </c>
      <c r="N6" s="97"/>
      <c r="O6" s="98"/>
      <c r="P6" s="100"/>
      <c r="Q6"/>
      <c r="R6"/>
      <c r="S6"/>
      <c r="T6"/>
      <c r="U6"/>
      <c r="V6"/>
      <c r="W6"/>
      <c r="X6"/>
      <c r="Y6"/>
      <c r="Z6"/>
      <c r="AA6"/>
      <c r="AB6"/>
      <c r="AC6"/>
    </row>
    <row r="7" spans="1:29" s="7" customFormat="1" ht="15.75" thickBot="1" x14ac:dyDescent="0.3">
      <c r="A7" s="78"/>
      <c r="U7"/>
      <c r="V7"/>
      <c r="W7"/>
      <c r="X7"/>
      <c r="Y7"/>
      <c r="Z7"/>
      <c r="AA7"/>
      <c r="AB7"/>
      <c r="AC7"/>
    </row>
    <row r="8" spans="1:29" ht="15.75" thickBot="1" x14ac:dyDescent="0.3">
      <c r="A8" s="78"/>
      <c r="B8" s="8" t="s">
        <v>0</v>
      </c>
      <c r="C8" s="10">
        <v>1070</v>
      </c>
      <c r="D8" s="11">
        <v>1080</v>
      </c>
      <c r="E8" s="11" t="s">
        <v>11</v>
      </c>
      <c r="F8" s="11" t="s">
        <v>49</v>
      </c>
      <c r="G8" s="11">
        <v>2060</v>
      </c>
      <c r="H8" s="11" t="s">
        <v>1</v>
      </c>
      <c r="I8" s="11">
        <v>2070</v>
      </c>
      <c r="J8" s="11" t="s">
        <v>13</v>
      </c>
      <c r="K8" s="11">
        <v>2080</v>
      </c>
      <c r="L8" s="11" t="s">
        <v>14</v>
      </c>
      <c r="M8" s="11" t="s">
        <v>15</v>
      </c>
      <c r="N8" s="11" t="s">
        <v>12</v>
      </c>
      <c r="O8" s="11">
        <v>3070</v>
      </c>
      <c r="P8" s="11">
        <v>3080</v>
      </c>
      <c r="Q8" s="12">
        <v>3090</v>
      </c>
    </row>
    <row r="9" spans="1:29" x14ac:dyDescent="0.25">
      <c r="A9" s="78"/>
      <c r="B9" s="27" t="s">
        <v>55</v>
      </c>
      <c r="C9" s="62">
        <f t="shared" ref="C9:Q9" si="0">$P$5*C10/100</f>
        <v>2.0244005403125001</v>
      </c>
      <c r="D9" s="28">
        <f t="shared" si="0"/>
        <v>2.4292806483749998</v>
      </c>
      <c r="E9" s="28">
        <f t="shared" si="0"/>
        <v>3.1040808284791668</v>
      </c>
      <c r="F9" s="28">
        <f t="shared" si="0"/>
        <v>2.0244005403125001</v>
      </c>
      <c r="G9" s="28">
        <f t="shared" si="0"/>
        <v>2.159360576333333</v>
      </c>
      <c r="H9" s="28">
        <f t="shared" si="0"/>
        <v>2.851030760940104</v>
      </c>
      <c r="I9" s="28">
        <f t="shared" si="0"/>
        <v>2.9691207924583329</v>
      </c>
      <c r="J9" s="28">
        <f t="shared" si="0"/>
        <v>2.9016407744479165</v>
      </c>
      <c r="K9" s="28">
        <f t="shared" si="0"/>
        <v>2.9016407744479165</v>
      </c>
      <c r="L9" s="28">
        <f t="shared" si="0"/>
        <v>2.8476567600395835</v>
      </c>
      <c r="M9" s="28">
        <f t="shared" si="0"/>
        <v>3.9948170662166667</v>
      </c>
      <c r="N9" s="28">
        <f t="shared" si="0"/>
        <v>4.0825410896302081</v>
      </c>
      <c r="O9" s="28">
        <f t="shared" si="0"/>
        <v>4.0865898907108331</v>
      </c>
      <c r="P9" s="28">
        <f t="shared" si="0"/>
        <v>6.4780817289999995</v>
      </c>
      <c r="Q9" s="29">
        <f t="shared" si="0"/>
        <v>8.0976021612500002</v>
      </c>
    </row>
    <row r="10" spans="1:29" x14ac:dyDescent="0.25">
      <c r="A10" s="78"/>
      <c r="B10" s="16" t="s">
        <v>10</v>
      </c>
      <c r="C10" s="20">
        <v>30</v>
      </c>
      <c r="D10" s="21">
        <v>36</v>
      </c>
      <c r="E10" s="21">
        <v>46</v>
      </c>
      <c r="F10" s="21">
        <v>30</v>
      </c>
      <c r="G10" s="21">
        <v>32</v>
      </c>
      <c r="H10" s="21">
        <v>42.25</v>
      </c>
      <c r="I10" s="21">
        <v>44</v>
      </c>
      <c r="J10" s="21">
        <v>43</v>
      </c>
      <c r="K10" s="21">
        <v>43</v>
      </c>
      <c r="L10" s="21">
        <v>42.2</v>
      </c>
      <c r="M10" s="21">
        <v>59.2</v>
      </c>
      <c r="N10" s="21">
        <v>60.5</v>
      </c>
      <c r="O10" s="21">
        <v>60.56</v>
      </c>
      <c r="P10" s="21">
        <v>96</v>
      </c>
      <c r="Q10" s="22">
        <v>120</v>
      </c>
    </row>
    <row r="11" spans="1:29" x14ac:dyDescent="0.25">
      <c r="A11" s="78"/>
      <c r="B11" s="30" t="s">
        <v>38</v>
      </c>
      <c r="C11" s="31">
        <v>120</v>
      </c>
      <c r="D11" s="32">
        <v>135</v>
      </c>
      <c r="E11" s="32">
        <v>240</v>
      </c>
      <c r="F11" s="32">
        <v>90</v>
      </c>
      <c r="G11" s="32">
        <v>90</v>
      </c>
      <c r="H11" s="32">
        <v>110</v>
      </c>
      <c r="I11" s="32">
        <v>120</v>
      </c>
      <c r="J11" s="32">
        <v>125</v>
      </c>
      <c r="K11" s="32">
        <v>108</v>
      </c>
      <c r="L11" s="32">
        <v>140</v>
      </c>
      <c r="M11" s="32">
        <v>230</v>
      </c>
      <c r="N11" s="32">
        <v>120</v>
      </c>
      <c r="O11" s="32">
        <v>120</v>
      </c>
      <c r="P11" s="32">
        <v>220</v>
      </c>
      <c r="Q11" s="33">
        <v>285</v>
      </c>
    </row>
    <row r="12" spans="1:29" x14ac:dyDescent="0.25">
      <c r="A12" s="78"/>
      <c r="B12" s="16" t="s">
        <v>59</v>
      </c>
      <c r="C12" s="17">
        <f>C11*24/1000*$D$5/100</f>
        <v>0.29735999999999996</v>
      </c>
      <c r="D12" s="18">
        <f t="shared" ref="D12:Q12" si="1">D11*24/1000*$D$5/100</f>
        <v>0.33453000000000005</v>
      </c>
      <c r="E12" s="18">
        <f t="shared" si="1"/>
        <v>0.59471999999999992</v>
      </c>
      <c r="F12" s="18">
        <f t="shared" si="1"/>
        <v>0.22302</v>
      </c>
      <c r="G12" s="18">
        <f t="shared" si="1"/>
        <v>0.22302</v>
      </c>
      <c r="H12" s="18">
        <f t="shared" si="1"/>
        <v>0.27257999999999999</v>
      </c>
      <c r="I12" s="18">
        <f t="shared" si="1"/>
        <v>0.29735999999999996</v>
      </c>
      <c r="J12" s="18">
        <f t="shared" si="1"/>
        <v>0.30974999999999997</v>
      </c>
      <c r="K12" s="18">
        <f t="shared" si="1"/>
        <v>0.26762399999999997</v>
      </c>
      <c r="L12" s="18">
        <f t="shared" si="1"/>
        <v>0.34691999999999995</v>
      </c>
      <c r="M12" s="18">
        <f t="shared" si="1"/>
        <v>0.56993999999999989</v>
      </c>
      <c r="N12" s="18">
        <f t="shared" si="1"/>
        <v>0.29735999999999996</v>
      </c>
      <c r="O12" s="18">
        <f t="shared" si="1"/>
        <v>0.29735999999999996</v>
      </c>
      <c r="P12" s="18">
        <f t="shared" si="1"/>
        <v>0.54515999999999998</v>
      </c>
      <c r="Q12" s="19">
        <f t="shared" si="1"/>
        <v>0.70622999999999991</v>
      </c>
    </row>
    <row r="13" spans="1:29" ht="17.25" x14ac:dyDescent="0.25">
      <c r="A13" s="78"/>
      <c r="B13" s="30" t="s">
        <v>56</v>
      </c>
      <c r="C13" s="34">
        <f t="shared" ref="C13:Q13" si="2">C9-C12</f>
        <v>1.7270405403125002</v>
      </c>
      <c r="D13" s="35">
        <f t="shared" si="2"/>
        <v>2.0947506483749998</v>
      </c>
      <c r="E13" s="35">
        <f t="shared" si="2"/>
        <v>2.5093608284791671</v>
      </c>
      <c r="F13" s="35">
        <f t="shared" ref="F13" si="3">F9-F12</f>
        <v>1.8013805403125001</v>
      </c>
      <c r="G13" s="35">
        <f>G9-G12</f>
        <v>1.936340576333333</v>
      </c>
      <c r="H13" s="35">
        <f t="shared" si="2"/>
        <v>2.5784507609401039</v>
      </c>
      <c r="I13" s="35">
        <f t="shared" si="2"/>
        <v>2.6717607924583331</v>
      </c>
      <c r="J13" s="35">
        <f t="shared" si="2"/>
        <v>2.5918907744479167</v>
      </c>
      <c r="K13" s="35">
        <f t="shared" si="2"/>
        <v>2.6340167744479164</v>
      </c>
      <c r="L13" s="35">
        <f t="shared" si="2"/>
        <v>2.5007367600395836</v>
      </c>
      <c r="M13" s="35">
        <f t="shared" si="2"/>
        <v>3.4248770662166668</v>
      </c>
      <c r="N13" s="35">
        <f t="shared" si="2"/>
        <v>3.7851810896302083</v>
      </c>
      <c r="O13" s="35">
        <f t="shared" si="2"/>
        <v>3.7892298907108333</v>
      </c>
      <c r="P13" s="35">
        <f t="shared" si="2"/>
        <v>5.9329217289999994</v>
      </c>
      <c r="Q13" s="36">
        <f t="shared" si="2"/>
        <v>7.3913721612500005</v>
      </c>
    </row>
    <row r="14" spans="1:29" ht="17.25" x14ac:dyDescent="0.25">
      <c r="A14" s="78"/>
      <c r="B14" s="16" t="s">
        <v>57</v>
      </c>
      <c r="C14" s="20">
        <v>600</v>
      </c>
      <c r="D14" s="21">
        <v>700</v>
      </c>
      <c r="E14" s="21">
        <v>950</v>
      </c>
      <c r="F14" s="21">
        <v>600</v>
      </c>
      <c r="G14" s="21">
        <v>800</v>
      </c>
      <c r="H14" s="21">
        <v>950</v>
      </c>
      <c r="I14" s="21">
        <v>1000</v>
      </c>
      <c r="J14" s="21">
        <v>1000</v>
      </c>
      <c r="K14" s="21">
        <v>1300</v>
      </c>
      <c r="L14" s="21">
        <v>1000</v>
      </c>
      <c r="M14" s="21">
        <v>1800</v>
      </c>
      <c r="N14" s="21">
        <v>1800</v>
      </c>
      <c r="O14" s="21">
        <v>1200</v>
      </c>
      <c r="P14" s="21">
        <v>1800</v>
      </c>
      <c r="Q14" s="22">
        <v>2600</v>
      </c>
    </row>
    <row r="15" spans="1:29" x14ac:dyDescent="0.25">
      <c r="A15" s="78"/>
      <c r="B15" s="30" t="s">
        <v>16</v>
      </c>
      <c r="C15" s="34">
        <f t="shared" ref="C15:Q15" si="4">C10/C11</f>
        <v>0.25</v>
      </c>
      <c r="D15" s="35">
        <f t="shared" si="4"/>
        <v>0.26666666666666666</v>
      </c>
      <c r="E15" s="35">
        <f t="shared" si="4"/>
        <v>0.19166666666666668</v>
      </c>
      <c r="F15" s="35">
        <f t="shared" ref="F15" si="5">F10/F11</f>
        <v>0.33333333333333331</v>
      </c>
      <c r="G15" s="35">
        <f t="shared" si="4"/>
        <v>0.35555555555555557</v>
      </c>
      <c r="H15" s="35">
        <f t="shared" si="4"/>
        <v>0.38409090909090909</v>
      </c>
      <c r="I15" s="35">
        <f t="shared" si="4"/>
        <v>0.36666666666666664</v>
      </c>
      <c r="J15" s="35">
        <f t="shared" si="4"/>
        <v>0.34399999999999997</v>
      </c>
      <c r="K15" s="35">
        <f t="shared" si="4"/>
        <v>0.39814814814814814</v>
      </c>
      <c r="L15" s="35">
        <f t="shared" si="4"/>
        <v>0.30142857142857143</v>
      </c>
      <c r="M15" s="35">
        <f t="shared" si="4"/>
        <v>0.25739130434782609</v>
      </c>
      <c r="N15" s="35">
        <f>N10/N11</f>
        <v>0.50416666666666665</v>
      </c>
      <c r="O15" s="35">
        <f t="shared" si="4"/>
        <v>0.50466666666666671</v>
      </c>
      <c r="P15" s="35">
        <f t="shared" si="4"/>
        <v>0.43636363636363634</v>
      </c>
      <c r="Q15" s="36">
        <f t="shared" si="4"/>
        <v>0.42105263157894735</v>
      </c>
    </row>
    <row r="16" spans="1:29" x14ac:dyDescent="0.25">
      <c r="A16" s="78"/>
      <c r="B16" s="16" t="s">
        <v>58</v>
      </c>
      <c r="C16" s="40">
        <f t="shared" ref="C16" si="6">C14/C13</f>
        <v>347.4151219932757</v>
      </c>
      <c r="D16" s="41">
        <f t="shared" ref="D16:Q16" si="7">D14/D13</f>
        <v>334.16865178823269</v>
      </c>
      <c r="E16" s="41">
        <f t="shared" si="7"/>
        <v>378.58246180393303</v>
      </c>
      <c r="F16" s="41">
        <f t="shared" ref="F16" si="8">F14/F13</f>
        <v>333.07787364901429</v>
      </c>
      <c r="G16" s="41">
        <f t="shared" si="7"/>
        <v>413.1504600884237</v>
      </c>
      <c r="H16" s="41">
        <f t="shared" si="7"/>
        <v>368.43829418469471</v>
      </c>
      <c r="I16" s="41">
        <f t="shared" si="7"/>
        <v>374.28500441459164</v>
      </c>
      <c r="J16" s="41">
        <f t="shared" si="7"/>
        <v>385.81872733931237</v>
      </c>
      <c r="K16" s="41">
        <f t="shared" si="7"/>
        <v>493.54279464392437</v>
      </c>
      <c r="L16" s="41">
        <f t="shared" si="7"/>
        <v>399.88215312361433</v>
      </c>
      <c r="M16" s="41">
        <f t="shared" si="7"/>
        <v>525.56630944666063</v>
      </c>
      <c r="N16" s="41">
        <f t="shared" si="7"/>
        <v>475.53867500057976</v>
      </c>
      <c r="O16" s="41">
        <f t="shared" si="7"/>
        <v>316.68704053606217</v>
      </c>
      <c r="P16" s="41">
        <f t="shared" si="7"/>
        <v>303.3918332685289</v>
      </c>
      <c r="Q16" s="42">
        <f t="shared" si="7"/>
        <v>351.76147855614107</v>
      </c>
    </row>
    <row r="17" spans="1:29" ht="18" thickBot="1" x14ac:dyDescent="0.3">
      <c r="A17" s="78"/>
      <c r="B17" s="9" t="s">
        <v>44</v>
      </c>
      <c r="C17" s="37">
        <f t="shared" ref="C17" si="9">C13*365/C14</f>
        <v>1.0506163286901042</v>
      </c>
      <c r="D17" s="38">
        <f t="shared" ref="D17:Q17" si="10">D13*365/D14</f>
        <v>1.0922628380812498</v>
      </c>
      <c r="E17" s="38">
        <f t="shared" si="10"/>
        <v>0.96412284462620634</v>
      </c>
      <c r="F17" s="38">
        <f t="shared" ref="F17" si="11">F13*365/F14</f>
        <v>1.0958398286901041</v>
      </c>
      <c r="G17" s="38">
        <f t="shared" si="10"/>
        <v>0.88345538795208312</v>
      </c>
      <c r="H17" s="38">
        <f t="shared" si="10"/>
        <v>0.99066792394014525</v>
      </c>
      <c r="I17" s="38">
        <f t="shared" si="10"/>
        <v>0.97519268924729163</v>
      </c>
      <c r="J17" s="38">
        <f t="shared" si="10"/>
        <v>0.94604013267348952</v>
      </c>
      <c r="K17" s="38">
        <f t="shared" si="10"/>
        <v>0.73955086359499189</v>
      </c>
      <c r="L17" s="38">
        <f t="shared" si="10"/>
        <v>0.91276891741444799</v>
      </c>
      <c r="M17" s="38">
        <f t="shared" si="10"/>
        <v>0.69448896064949084</v>
      </c>
      <c r="N17" s="38">
        <f t="shared" si="10"/>
        <v>0.76755060984168111</v>
      </c>
      <c r="O17" s="38">
        <f t="shared" si="10"/>
        <v>1.1525574250912118</v>
      </c>
      <c r="P17" s="38">
        <f t="shared" si="10"/>
        <v>1.2030646839361108</v>
      </c>
      <c r="Q17" s="39">
        <f t="shared" si="10"/>
        <v>1.0376349380216345</v>
      </c>
    </row>
    <row r="18" spans="1:29" s="7" customFormat="1" x14ac:dyDescent="0.25">
      <c r="A18" s="78"/>
      <c r="B18" s="84" t="s">
        <v>45</v>
      </c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6"/>
      <c r="U18"/>
      <c r="V18"/>
      <c r="W18"/>
      <c r="X18"/>
      <c r="Y18"/>
      <c r="Z18"/>
      <c r="AA18"/>
      <c r="AB18"/>
      <c r="AC18"/>
    </row>
    <row r="19" spans="1:29" ht="15.75" x14ac:dyDescent="0.25">
      <c r="A19" s="78"/>
      <c r="B19" s="87" t="s">
        <v>47</v>
      </c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9"/>
    </row>
    <row r="20" spans="1:29" ht="16.5" thickBot="1" x14ac:dyDescent="0.3">
      <c r="A20" s="79"/>
      <c r="B20" s="90" t="s">
        <v>46</v>
      </c>
      <c r="C20" s="91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2"/>
    </row>
    <row r="21" spans="1:29" ht="15.75" thickBot="1" x14ac:dyDescent="0.3"/>
    <row r="22" spans="1:29" ht="15.75" thickBot="1" x14ac:dyDescent="0.3">
      <c r="A22" s="77" t="s">
        <v>20</v>
      </c>
      <c r="B22" s="6" t="s">
        <v>35</v>
      </c>
      <c r="C22" s="61">
        <f>1-2/$L$6</f>
        <v>2.8361730300515586E-2</v>
      </c>
    </row>
    <row r="23" spans="1:29" ht="15.75" customHeight="1" thickBot="1" x14ac:dyDescent="0.3">
      <c r="A23" s="78"/>
      <c r="B23" s="3" t="s">
        <v>0</v>
      </c>
      <c r="C23" s="24">
        <f>C$8</f>
        <v>1070</v>
      </c>
      <c r="D23" s="25">
        <f t="shared" ref="D23:Q23" si="12">D$8</f>
        <v>1080</v>
      </c>
      <c r="E23" s="25" t="str">
        <f t="shared" si="12"/>
        <v>1080 Ti</v>
      </c>
      <c r="F23" s="25" t="str">
        <f t="shared" si="12"/>
        <v>1660s</v>
      </c>
      <c r="G23" s="25">
        <f t="shared" si="12"/>
        <v>2060</v>
      </c>
      <c r="H23" s="25" t="str">
        <f t="shared" si="12"/>
        <v>2060s</v>
      </c>
      <c r="I23" s="25">
        <f t="shared" si="12"/>
        <v>2070</v>
      </c>
      <c r="J23" s="25" t="str">
        <f t="shared" si="12"/>
        <v>2070s</v>
      </c>
      <c r="K23" s="25">
        <f t="shared" si="12"/>
        <v>2080</v>
      </c>
      <c r="L23" s="25" t="str">
        <f t="shared" si="12"/>
        <v>2080s</v>
      </c>
      <c r="M23" s="25" t="str">
        <f t="shared" si="12"/>
        <v>2080Ti</v>
      </c>
      <c r="N23" s="25" t="str">
        <f t="shared" si="12"/>
        <v>3060 Ti</v>
      </c>
      <c r="O23" s="25">
        <f t="shared" si="12"/>
        <v>3070</v>
      </c>
      <c r="P23" s="25">
        <f t="shared" si="12"/>
        <v>3080</v>
      </c>
      <c r="Q23" s="26">
        <f t="shared" si="12"/>
        <v>3090</v>
      </c>
    </row>
    <row r="24" spans="1:29" x14ac:dyDescent="0.25">
      <c r="A24" s="78"/>
      <c r="B24" s="43" t="s">
        <v>37</v>
      </c>
      <c r="C24" s="44">
        <f t="shared" ref="C24:Q24" si="13">C$9*(1-$C$22)</f>
        <v>1.9669850381679388</v>
      </c>
      <c r="D24" s="45">
        <f t="shared" si="13"/>
        <v>2.3603820458015266</v>
      </c>
      <c r="E24" s="45">
        <f t="shared" si="13"/>
        <v>3.0160437251908396</v>
      </c>
      <c r="F24" s="45">
        <f t="shared" si="13"/>
        <v>1.9669850381679388</v>
      </c>
      <c r="G24" s="45">
        <f t="shared" si="13"/>
        <v>2.0981173740458012</v>
      </c>
      <c r="H24" s="45">
        <f t="shared" si="13"/>
        <v>2.770170595419847</v>
      </c>
      <c r="I24" s="45">
        <f t="shared" si="13"/>
        <v>2.8849113893129767</v>
      </c>
      <c r="J24" s="45">
        <f t="shared" si="13"/>
        <v>2.8193452213740455</v>
      </c>
      <c r="K24" s="45">
        <f t="shared" si="13"/>
        <v>2.8193452213740455</v>
      </c>
      <c r="L24" s="45">
        <f t="shared" si="13"/>
        <v>2.7668922870229009</v>
      </c>
      <c r="M24" s="45">
        <f t="shared" si="13"/>
        <v>3.8815171419847325</v>
      </c>
      <c r="N24" s="45">
        <f t="shared" si="13"/>
        <v>3.966753160305343</v>
      </c>
      <c r="O24" s="45">
        <f t="shared" si="13"/>
        <v>3.9706871303816791</v>
      </c>
      <c r="P24" s="45">
        <f t="shared" si="13"/>
        <v>6.2943521221374041</v>
      </c>
      <c r="Q24" s="46">
        <f t="shared" si="13"/>
        <v>7.8679401526717552</v>
      </c>
    </row>
    <row r="25" spans="1:29" x14ac:dyDescent="0.25">
      <c r="A25" s="78"/>
      <c r="B25" s="23" t="s">
        <v>19</v>
      </c>
      <c r="C25" s="51">
        <f t="shared" ref="C25:Q25" si="14">C24-C$12</f>
        <v>1.6696250381679389</v>
      </c>
      <c r="D25" s="52">
        <f t="shared" si="14"/>
        <v>2.0258520458015266</v>
      </c>
      <c r="E25" s="52">
        <f t="shared" si="14"/>
        <v>2.4213237251908399</v>
      </c>
      <c r="F25" s="52">
        <f t="shared" ref="F25" si="15">F24-F$12</f>
        <v>1.7439650381679388</v>
      </c>
      <c r="G25" s="52">
        <f t="shared" si="14"/>
        <v>1.8750973740458012</v>
      </c>
      <c r="H25" s="52">
        <f t="shared" si="14"/>
        <v>2.497590595419847</v>
      </c>
      <c r="I25" s="52">
        <f t="shared" si="14"/>
        <v>2.5875513893129769</v>
      </c>
      <c r="J25" s="52">
        <f t="shared" si="14"/>
        <v>2.5095952213740453</v>
      </c>
      <c r="K25" s="52">
        <f t="shared" si="14"/>
        <v>2.5517212213740454</v>
      </c>
      <c r="L25" s="52">
        <f t="shared" si="14"/>
        <v>2.419972287022901</v>
      </c>
      <c r="M25" s="52">
        <f t="shared" si="14"/>
        <v>3.3115771419847326</v>
      </c>
      <c r="N25" s="52">
        <f t="shared" si="14"/>
        <v>3.6693931603053431</v>
      </c>
      <c r="O25" s="52">
        <f t="shared" si="14"/>
        <v>3.6733271303816792</v>
      </c>
      <c r="P25" s="52">
        <f t="shared" si="14"/>
        <v>5.749192122137404</v>
      </c>
      <c r="Q25" s="53">
        <f t="shared" si="14"/>
        <v>7.1617101526717555</v>
      </c>
    </row>
    <row r="26" spans="1:29" x14ac:dyDescent="0.25">
      <c r="A26" s="78"/>
      <c r="B26" s="47" t="s">
        <v>17</v>
      </c>
      <c r="C26" s="48">
        <f t="shared" ref="C26:Q26" si="16">IF(C25&gt;0,C$14/C25,"N/A")</f>
        <v>359.3621240002326</v>
      </c>
      <c r="D26" s="49">
        <f t="shared" si="16"/>
        <v>345.53362445728146</v>
      </c>
      <c r="E26" s="49">
        <f t="shared" si="16"/>
        <v>392.34737185963206</v>
      </c>
      <c r="F26" s="49">
        <f t="shared" ref="F26" si="17">IF(F25&gt;0,F$14/F25,"N/A")</f>
        <v>344.0435942628236</v>
      </c>
      <c r="G26" s="49">
        <f t="shared" si="16"/>
        <v>426.6445098122457</v>
      </c>
      <c r="H26" s="49">
        <f t="shared" si="16"/>
        <v>380.36658279468907</v>
      </c>
      <c r="I26" s="49">
        <f t="shared" si="16"/>
        <v>386.46575450836201</v>
      </c>
      <c r="J26" s="49">
        <f t="shared" si="16"/>
        <v>398.47063442067093</v>
      </c>
      <c r="K26" s="49">
        <f t="shared" si="16"/>
        <v>509.46004175956915</v>
      </c>
      <c r="L26" s="49">
        <f t="shared" si="16"/>
        <v>413.22787263412022</v>
      </c>
      <c r="M26" s="49">
        <f t="shared" si="16"/>
        <v>543.5476580567298</v>
      </c>
      <c r="N26" s="49">
        <f t="shared" si="16"/>
        <v>490.54432745773573</v>
      </c>
      <c r="O26" s="49">
        <f t="shared" si="16"/>
        <v>326.67931752523037</v>
      </c>
      <c r="P26" s="49">
        <f t="shared" si="16"/>
        <v>313.08746720588033</v>
      </c>
      <c r="Q26" s="50">
        <f t="shared" si="16"/>
        <v>363.04177976681189</v>
      </c>
    </row>
    <row r="27" spans="1:29" ht="15.75" thickBot="1" x14ac:dyDescent="0.3">
      <c r="A27" s="78"/>
      <c r="B27" s="54" t="s">
        <v>18</v>
      </c>
      <c r="C27" s="55">
        <f>C25*365/C$14</f>
        <v>1.0156885648854961</v>
      </c>
      <c r="D27" s="56">
        <f>D25*365/D$14</f>
        <v>1.0563371381679387</v>
      </c>
      <c r="E27" s="56">
        <f t="shared" ref="E27:Q27" si="18">E25*365/E14</f>
        <v>0.93029806283648053</v>
      </c>
      <c r="F27" s="56">
        <f t="shared" ref="F27" si="19">F25*365/F14</f>
        <v>1.0609120648854962</v>
      </c>
      <c r="G27" s="56">
        <f t="shared" si="18"/>
        <v>0.85551317690839679</v>
      </c>
      <c r="H27" s="56">
        <f t="shared" si="18"/>
        <v>0.95960059718762547</v>
      </c>
      <c r="I27" s="56">
        <f t="shared" si="18"/>
        <v>0.94445625709923664</v>
      </c>
      <c r="J27" s="56">
        <f t="shared" si="18"/>
        <v>0.9160022558015265</v>
      </c>
      <c r="K27" s="56">
        <f t="shared" si="18"/>
        <v>0.71644480446271275</v>
      </c>
      <c r="L27" s="56">
        <f t="shared" si="18"/>
        <v>0.88328988476335879</v>
      </c>
      <c r="M27" s="56">
        <f t="shared" si="18"/>
        <v>0.67151425379134855</v>
      </c>
      <c r="N27" s="56">
        <f t="shared" si="18"/>
        <v>0.74407139083969454</v>
      </c>
      <c r="O27" s="56">
        <f t="shared" si="18"/>
        <v>1.1173036688244276</v>
      </c>
      <c r="P27" s="56">
        <f t="shared" si="18"/>
        <v>1.1658084025445292</v>
      </c>
      <c r="Q27" s="57">
        <f t="shared" si="18"/>
        <v>1.0053939252789195</v>
      </c>
    </row>
    <row r="28" spans="1:29" ht="108.75" customHeight="1" thickBot="1" x14ac:dyDescent="0.3">
      <c r="A28" s="79"/>
      <c r="B28" s="80" t="s">
        <v>41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2"/>
    </row>
    <row r="29" spans="1:29" ht="15.75" thickBot="1" x14ac:dyDescent="0.3"/>
    <row r="30" spans="1:29" ht="15.75" thickBot="1" x14ac:dyDescent="0.3">
      <c r="A30" s="77" t="s">
        <v>21</v>
      </c>
      <c r="B30" s="6" t="s">
        <v>35</v>
      </c>
      <c r="C30" s="61">
        <f>1-83/1405</f>
        <v>0.94092526690391454</v>
      </c>
    </row>
    <row r="31" spans="1:29" ht="15.75" customHeight="1" thickBot="1" x14ac:dyDescent="0.3">
      <c r="A31" s="78"/>
      <c r="B31" s="3" t="s">
        <v>0</v>
      </c>
      <c r="C31" s="24">
        <f>C$8</f>
        <v>1070</v>
      </c>
      <c r="D31" s="25">
        <f t="shared" ref="D31:Q31" si="20">D$8</f>
        <v>1080</v>
      </c>
      <c r="E31" s="25" t="str">
        <f t="shared" si="20"/>
        <v>1080 Ti</v>
      </c>
      <c r="F31" s="25" t="str">
        <f t="shared" si="20"/>
        <v>1660s</v>
      </c>
      <c r="G31" s="25">
        <f t="shared" si="20"/>
        <v>2060</v>
      </c>
      <c r="H31" s="25" t="str">
        <f t="shared" si="20"/>
        <v>2060s</v>
      </c>
      <c r="I31" s="25">
        <f t="shared" si="20"/>
        <v>2070</v>
      </c>
      <c r="J31" s="25" t="str">
        <f t="shared" si="20"/>
        <v>2070s</v>
      </c>
      <c r="K31" s="25">
        <f t="shared" si="20"/>
        <v>2080</v>
      </c>
      <c r="L31" s="25" t="str">
        <f t="shared" si="20"/>
        <v>2080s</v>
      </c>
      <c r="M31" s="25" t="str">
        <f t="shared" si="20"/>
        <v>2080Ti</v>
      </c>
      <c r="N31" s="25" t="str">
        <f t="shared" si="20"/>
        <v>3060 Ti</v>
      </c>
      <c r="O31" s="25">
        <f t="shared" si="20"/>
        <v>3070</v>
      </c>
      <c r="P31" s="25">
        <f t="shared" si="20"/>
        <v>3080</v>
      </c>
      <c r="Q31" s="26">
        <f t="shared" si="20"/>
        <v>3090</v>
      </c>
    </row>
    <row r="32" spans="1:29" x14ac:dyDescent="0.25">
      <c r="A32" s="78"/>
      <c r="B32" s="43" t="s">
        <v>37</v>
      </c>
      <c r="C32" s="44">
        <f t="shared" ref="C32:Q32" si="21">C$9*(1-$C$30)</f>
        <v>0.11959092159853214</v>
      </c>
      <c r="D32" s="45">
        <f t="shared" si="21"/>
        <v>0.14350910591823857</v>
      </c>
      <c r="E32" s="45">
        <f t="shared" si="21"/>
        <v>0.18337274645108262</v>
      </c>
      <c r="F32" s="45">
        <f t="shared" si="21"/>
        <v>0.11959092159853214</v>
      </c>
      <c r="G32" s="45">
        <f t="shared" si="21"/>
        <v>0.12756364970510092</v>
      </c>
      <c r="H32" s="45">
        <f t="shared" si="21"/>
        <v>0.16842388125126609</v>
      </c>
      <c r="I32" s="45">
        <f t="shared" si="21"/>
        <v>0.17540001834451377</v>
      </c>
      <c r="J32" s="45">
        <f t="shared" si="21"/>
        <v>0.17141365429122937</v>
      </c>
      <c r="K32" s="45">
        <f t="shared" si="21"/>
        <v>0.17141365429122937</v>
      </c>
      <c r="L32" s="45">
        <f t="shared" si="21"/>
        <v>0.16822456304860189</v>
      </c>
      <c r="M32" s="45">
        <f t="shared" si="21"/>
        <v>0.23599275195443675</v>
      </c>
      <c r="N32" s="45">
        <f t="shared" si="21"/>
        <v>0.24117502522370646</v>
      </c>
      <c r="O32" s="45">
        <f t="shared" si="21"/>
        <v>0.24141420706690353</v>
      </c>
      <c r="P32" s="45">
        <f t="shared" si="21"/>
        <v>0.38269094911530283</v>
      </c>
      <c r="Q32" s="46">
        <f t="shared" si="21"/>
        <v>0.47836368639412857</v>
      </c>
    </row>
    <row r="33" spans="1:17" x14ac:dyDescent="0.25">
      <c r="A33" s="78"/>
      <c r="B33" s="23" t="s">
        <v>19</v>
      </c>
      <c r="C33" s="51">
        <f t="shared" ref="C33:Q33" si="22">C32-C$12</f>
        <v>-0.17776907840146783</v>
      </c>
      <c r="D33" s="52">
        <f t="shared" si="22"/>
        <v>-0.19102089408176148</v>
      </c>
      <c r="E33" s="52">
        <f t="shared" si="22"/>
        <v>-0.41134725354891732</v>
      </c>
      <c r="F33" s="52">
        <f t="shared" ref="F33" si="23">F32-F$12</f>
        <v>-0.10342907840146785</v>
      </c>
      <c r="G33" s="52">
        <f t="shared" si="22"/>
        <v>-9.5456350294899073E-2</v>
      </c>
      <c r="H33" s="52">
        <f t="shared" si="22"/>
        <v>-0.1041561187487339</v>
      </c>
      <c r="I33" s="52">
        <f t="shared" si="22"/>
        <v>-0.12195998165548619</v>
      </c>
      <c r="J33" s="52">
        <f t="shared" si="22"/>
        <v>-0.1383363457087706</v>
      </c>
      <c r="K33" s="52">
        <f t="shared" si="22"/>
        <v>-9.62103457087706E-2</v>
      </c>
      <c r="L33" s="52">
        <f t="shared" si="22"/>
        <v>-0.17869543695139806</v>
      </c>
      <c r="M33" s="52">
        <f t="shared" si="22"/>
        <v>-0.33394724804556314</v>
      </c>
      <c r="N33" s="52">
        <f t="shared" si="22"/>
        <v>-5.61849747762935E-2</v>
      </c>
      <c r="O33" s="52">
        <f t="shared" si="22"/>
        <v>-5.5945792933096428E-2</v>
      </c>
      <c r="P33" s="52">
        <f t="shared" si="22"/>
        <v>-0.16246905088469715</v>
      </c>
      <c r="Q33" s="53">
        <f t="shared" si="22"/>
        <v>-0.22786631360587134</v>
      </c>
    </row>
    <row r="34" spans="1:17" x14ac:dyDescent="0.25">
      <c r="A34" s="78"/>
      <c r="B34" s="47" t="s">
        <v>17</v>
      </c>
      <c r="C34" s="48" t="str">
        <f t="shared" ref="C34:Q34" si="24">IF(C33&gt;0,C$14/C33,"N/A")</f>
        <v>N/A</v>
      </c>
      <c r="D34" s="49" t="str">
        <f t="shared" si="24"/>
        <v>N/A</v>
      </c>
      <c r="E34" s="49" t="str">
        <f t="shared" si="24"/>
        <v>N/A</v>
      </c>
      <c r="F34" s="49" t="str">
        <f t="shared" ref="F34" si="25">IF(F33&gt;0,F$14/F33,"N/A")</f>
        <v>N/A</v>
      </c>
      <c r="G34" s="49" t="str">
        <f t="shared" si="24"/>
        <v>N/A</v>
      </c>
      <c r="H34" s="49" t="str">
        <f t="shared" si="24"/>
        <v>N/A</v>
      </c>
      <c r="I34" s="49" t="str">
        <f t="shared" si="24"/>
        <v>N/A</v>
      </c>
      <c r="J34" s="49" t="str">
        <f t="shared" si="24"/>
        <v>N/A</v>
      </c>
      <c r="K34" s="49" t="str">
        <f t="shared" si="24"/>
        <v>N/A</v>
      </c>
      <c r="L34" s="49" t="str">
        <f t="shared" si="24"/>
        <v>N/A</v>
      </c>
      <c r="M34" s="49" t="str">
        <f t="shared" si="24"/>
        <v>N/A</v>
      </c>
      <c r="N34" s="49" t="str">
        <f t="shared" si="24"/>
        <v>N/A</v>
      </c>
      <c r="O34" s="49" t="str">
        <f t="shared" si="24"/>
        <v>N/A</v>
      </c>
      <c r="P34" s="49" t="str">
        <f t="shared" si="24"/>
        <v>N/A</v>
      </c>
      <c r="Q34" s="50" t="str">
        <f t="shared" si="24"/>
        <v>N/A</v>
      </c>
    </row>
    <row r="35" spans="1:17" ht="15.75" thickBot="1" x14ac:dyDescent="0.3">
      <c r="A35" s="78"/>
      <c r="B35" s="54" t="s">
        <v>18</v>
      </c>
      <c r="C35" s="55">
        <f t="shared" ref="C35:Q35" si="26">C33*365/C$14</f>
        <v>-0.10814285602755959</v>
      </c>
      <c r="D35" s="56">
        <f t="shared" si="26"/>
        <v>-9.9603751914061359E-2</v>
      </c>
      <c r="E35" s="56">
        <f t="shared" si="26"/>
        <v>-0.15804394478458403</v>
      </c>
      <c r="F35" s="56">
        <f t="shared" ref="F35" si="27">F33*365/F$14</f>
        <v>-6.2919356027559603E-2</v>
      </c>
      <c r="G35" s="56">
        <f t="shared" si="26"/>
        <v>-4.3551959822047702E-2</v>
      </c>
      <c r="H35" s="56">
        <f t="shared" si="26"/>
        <v>-4.0017877203460922E-2</v>
      </c>
      <c r="I35" s="56">
        <f t="shared" si="26"/>
        <v>-4.4515393304252457E-2</v>
      </c>
      <c r="J35" s="56">
        <f t="shared" si="26"/>
        <v>-5.0492766183701271E-2</v>
      </c>
      <c r="K35" s="56">
        <f t="shared" si="26"/>
        <v>-2.7012904756693285E-2</v>
      </c>
      <c r="L35" s="56">
        <f t="shared" si="26"/>
        <v>-6.5223834487260296E-2</v>
      </c>
      <c r="M35" s="56">
        <f t="shared" si="26"/>
        <v>-6.7717080853683637E-2</v>
      </c>
      <c r="N35" s="56">
        <f t="shared" si="26"/>
        <v>-1.1393064329637293E-2</v>
      </c>
      <c r="O35" s="56">
        <f t="shared" si="26"/>
        <v>-1.7016845350483496E-2</v>
      </c>
      <c r="P35" s="56">
        <f t="shared" si="26"/>
        <v>-3.2945113096063586E-2</v>
      </c>
      <c r="Q35" s="57">
        <f t="shared" si="26"/>
        <v>-3.1988924794670401E-2</v>
      </c>
    </row>
    <row r="36" spans="1:17" ht="80.25" customHeight="1" thickBot="1" x14ac:dyDescent="0.3">
      <c r="A36" s="79"/>
      <c r="B36" s="80" t="s">
        <v>51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2"/>
    </row>
    <row r="37" spans="1:17" ht="15.75" thickBot="1" x14ac:dyDescent="0.3"/>
    <row r="38" spans="1:17" ht="15.75" thickBot="1" x14ac:dyDescent="0.3">
      <c r="A38" s="77" t="s">
        <v>36</v>
      </c>
      <c r="B38" s="6" t="s">
        <v>35</v>
      </c>
      <c r="C38" s="61">
        <f>1-485/1405</f>
        <v>0.65480427046263345</v>
      </c>
    </row>
    <row r="39" spans="1:17" ht="15.75" thickBot="1" x14ac:dyDescent="0.3">
      <c r="A39" s="78"/>
      <c r="B39" s="3" t="s">
        <v>0</v>
      </c>
      <c r="C39" s="24">
        <f>C$8</f>
        <v>1070</v>
      </c>
      <c r="D39" s="25">
        <f t="shared" ref="D39:Q39" si="28">D$8</f>
        <v>1080</v>
      </c>
      <c r="E39" s="25" t="str">
        <f t="shared" si="28"/>
        <v>1080 Ti</v>
      </c>
      <c r="F39" s="25" t="str">
        <f t="shared" si="28"/>
        <v>1660s</v>
      </c>
      <c r="G39" s="25">
        <f t="shared" si="28"/>
        <v>2060</v>
      </c>
      <c r="H39" s="25" t="str">
        <f t="shared" si="28"/>
        <v>2060s</v>
      </c>
      <c r="I39" s="25">
        <f t="shared" si="28"/>
        <v>2070</v>
      </c>
      <c r="J39" s="25" t="str">
        <f t="shared" si="28"/>
        <v>2070s</v>
      </c>
      <c r="K39" s="25">
        <f t="shared" si="28"/>
        <v>2080</v>
      </c>
      <c r="L39" s="25" t="str">
        <f t="shared" si="28"/>
        <v>2080s</v>
      </c>
      <c r="M39" s="25" t="str">
        <f t="shared" si="28"/>
        <v>2080Ti</v>
      </c>
      <c r="N39" s="25" t="str">
        <f t="shared" si="28"/>
        <v>3060 Ti</v>
      </c>
      <c r="O39" s="25">
        <f t="shared" si="28"/>
        <v>3070</v>
      </c>
      <c r="P39" s="25">
        <f t="shared" si="28"/>
        <v>3080</v>
      </c>
      <c r="Q39" s="26">
        <f t="shared" si="28"/>
        <v>3090</v>
      </c>
    </row>
    <row r="40" spans="1:17" x14ac:dyDescent="0.25">
      <c r="A40" s="78"/>
      <c r="B40" s="43" t="s">
        <v>37</v>
      </c>
      <c r="C40" s="44">
        <f t="shared" ref="C40:Q40" si="29">C$9*(1-$C$38)</f>
        <v>0.69881442138901251</v>
      </c>
      <c r="D40" s="45">
        <f t="shared" si="29"/>
        <v>0.83857730566681488</v>
      </c>
      <c r="E40" s="45">
        <f t="shared" si="29"/>
        <v>1.0715154461298191</v>
      </c>
      <c r="F40" s="45">
        <f t="shared" si="29"/>
        <v>0.69881442138901251</v>
      </c>
      <c r="G40" s="45">
        <f t="shared" si="29"/>
        <v>0.74540204948161315</v>
      </c>
      <c r="H40" s="45">
        <f t="shared" si="29"/>
        <v>0.98416364345619245</v>
      </c>
      <c r="I40" s="45">
        <f t="shared" si="29"/>
        <v>1.0249278180372181</v>
      </c>
      <c r="J40" s="45">
        <f t="shared" si="29"/>
        <v>1.0016340039909177</v>
      </c>
      <c r="K40" s="45">
        <f t="shared" si="29"/>
        <v>1.0016340039909177</v>
      </c>
      <c r="L40" s="45">
        <f t="shared" si="29"/>
        <v>0.98299895275387761</v>
      </c>
      <c r="M40" s="45">
        <f t="shared" si="29"/>
        <v>1.3789937915409847</v>
      </c>
      <c r="N40" s="45">
        <f t="shared" si="29"/>
        <v>1.409275749801175</v>
      </c>
      <c r="O40" s="45">
        <f t="shared" si="29"/>
        <v>1.4106733786439531</v>
      </c>
      <c r="P40" s="45">
        <f t="shared" si="29"/>
        <v>2.2362061484448397</v>
      </c>
      <c r="Q40" s="46">
        <f t="shared" si="29"/>
        <v>2.79525768555605</v>
      </c>
    </row>
    <row r="41" spans="1:17" x14ac:dyDescent="0.25">
      <c r="A41" s="78"/>
      <c r="B41" s="23" t="s">
        <v>19</v>
      </c>
      <c r="C41" s="51">
        <f>C40-C$12</f>
        <v>0.40145442138901255</v>
      </c>
      <c r="D41" s="52">
        <f>D40-D$12</f>
        <v>0.50404730566681488</v>
      </c>
      <c r="E41" s="52">
        <f t="shared" ref="E41:F41" si="30">E40-E$12</f>
        <v>0.47679544612981917</v>
      </c>
      <c r="F41" s="52">
        <f t="shared" si="30"/>
        <v>0.47579442138901251</v>
      </c>
      <c r="G41" s="52">
        <f t="shared" ref="G41" si="31">G40-G$12</f>
        <v>0.52238204948161315</v>
      </c>
      <c r="H41" s="52">
        <f t="shared" ref="H41" si="32">H40-H$12</f>
        <v>0.71158364345619241</v>
      </c>
      <c r="I41" s="52">
        <f t="shared" ref="I41" si="33">I40-I$12</f>
        <v>0.72756781803721815</v>
      </c>
      <c r="J41" s="52">
        <f t="shared" ref="J41" si="34">J40-J$12</f>
        <v>0.69188400399091776</v>
      </c>
      <c r="K41" s="52">
        <f t="shared" ref="K41" si="35">K40-K$12</f>
        <v>0.73401000399091776</v>
      </c>
      <c r="L41" s="52">
        <f t="shared" ref="L41" si="36">L40-L$12</f>
        <v>0.63607895275387771</v>
      </c>
      <c r="M41" s="52">
        <f t="shared" ref="M41" si="37">M40-M$12</f>
        <v>0.80905379154098478</v>
      </c>
      <c r="N41" s="52">
        <f t="shared" ref="N41" si="38">N40-N$12</f>
        <v>1.1119157498011751</v>
      </c>
      <c r="O41" s="52">
        <f t="shared" ref="O41" si="39">O40-O$12</f>
        <v>1.1133133786439533</v>
      </c>
      <c r="P41" s="52">
        <f t="shared" ref="P41" si="40">P40-P$12</f>
        <v>1.6910461484448396</v>
      </c>
      <c r="Q41" s="53">
        <f>Q40-Q$12</f>
        <v>2.0890276855560499</v>
      </c>
    </row>
    <row r="42" spans="1:17" x14ac:dyDescent="0.25">
      <c r="A42" s="78"/>
      <c r="B42" s="47" t="s">
        <v>17</v>
      </c>
      <c r="C42" s="48">
        <f>IF(C41&gt;0,C$14/C41,"N/A")</f>
        <v>1494.5656792719569</v>
      </c>
      <c r="D42" s="49">
        <f>IF(D41&gt;0,D$14/D41,"N/A")</f>
        <v>1388.7585393873997</v>
      </c>
      <c r="E42" s="49">
        <f t="shared" ref="E42:F42" si="41">IF(E41&gt;0,E$14/E41,"N/A")</f>
        <v>1992.4686943032157</v>
      </c>
      <c r="F42" s="49">
        <f t="shared" si="41"/>
        <v>1261.0488333351773</v>
      </c>
      <c r="G42" s="49">
        <f t="shared" ref="G42" si="42">IF(G41&gt;0,G$14/G41,"N/A")</f>
        <v>1531.4461911428266</v>
      </c>
      <c r="H42" s="49">
        <f t="shared" ref="H42" si="43">IF(H41&gt;0,H$14/H41,"N/A")</f>
        <v>1335.0503608905469</v>
      </c>
      <c r="I42" s="49">
        <f t="shared" ref="I42" si="44">IF(I41&gt;0,I$14/I41,"N/A")</f>
        <v>1374.4423203018112</v>
      </c>
      <c r="J42" s="49">
        <f t="shared" ref="J42" si="45">IF(J41&gt;0,J$14/J41,"N/A")</f>
        <v>1445.3289774468133</v>
      </c>
      <c r="K42" s="49">
        <f t="shared" ref="K42" si="46">IF(K41&gt;0,K$14/K41,"N/A")</f>
        <v>1771.0930272499195</v>
      </c>
      <c r="L42" s="49">
        <f t="shared" ref="L42" si="47">IF(L41&gt;0,L$14/L41,"N/A")</f>
        <v>1572.1318802808064</v>
      </c>
      <c r="M42" s="49">
        <f t="shared" ref="M42" si="48">IF(M41&gt;0,M$14/M41,"N/A")</f>
        <v>2224.8211661817745</v>
      </c>
      <c r="N42" s="49">
        <f t="shared" ref="N42" si="49">IF(N41&gt;0,N$14/N41,"N/A")</f>
        <v>1618.8276857503486</v>
      </c>
      <c r="O42" s="49">
        <f t="shared" ref="O42" si="50">IF(O41&gt;0,O$14/O41,"N/A")</f>
        <v>1077.8636303298838</v>
      </c>
      <c r="P42" s="49">
        <f t="shared" ref="P42" si="51">IF(P41&gt;0,P$14/P41,"N/A")</f>
        <v>1064.4298511045126</v>
      </c>
      <c r="Q42" s="50">
        <f>IF(Q41&gt;0,Q$14/Q41,"N/A")</f>
        <v>1244.5981534744196</v>
      </c>
    </row>
    <row r="43" spans="1:17" ht="15.75" thickBot="1" x14ac:dyDescent="0.3">
      <c r="A43" s="78"/>
      <c r="B43" s="54" t="s">
        <v>18</v>
      </c>
      <c r="C43" s="13">
        <f t="shared" ref="C43:Q43" si="52">C41*365/C$14</f>
        <v>0.24421810634498262</v>
      </c>
      <c r="D43" s="14">
        <f t="shared" si="52"/>
        <v>0.26282466652626774</v>
      </c>
      <c r="E43" s="14">
        <f>E41*365/E$14</f>
        <v>0.18318982930250946</v>
      </c>
      <c r="F43" s="14">
        <f>F41*365/F$14</f>
        <v>0.28944160634498262</v>
      </c>
      <c r="G43" s="14">
        <f t="shared" si="52"/>
        <v>0.23833681007598601</v>
      </c>
      <c r="H43" s="14">
        <f t="shared" si="52"/>
        <v>0.27339792617001074</v>
      </c>
      <c r="I43" s="14">
        <f t="shared" si="52"/>
        <v>0.2655622535835846</v>
      </c>
      <c r="J43" s="14">
        <f t="shared" si="52"/>
        <v>0.25253766145668499</v>
      </c>
      <c r="K43" s="14">
        <f t="shared" si="52"/>
        <v>0.20608742419744999</v>
      </c>
      <c r="L43" s="14">
        <f t="shared" si="52"/>
        <v>0.23216881775516537</v>
      </c>
      <c r="M43" s="14">
        <f t="shared" si="52"/>
        <v>0.16405812995136637</v>
      </c>
      <c r="N43" s="14">
        <f t="shared" si="52"/>
        <v>0.22547180482079385</v>
      </c>
      <c r="O43" s="14">
        <f t="shared" si="52"/>
        <v>0.33863281933753581</v>
      </c>
      <c r="P43" s="14">
        <f t="shared" si="52"/>
        <v>0.3429065801013147</v>
      </c>
      <c r="Q43" s="15">
        <f t="shared" si="52"/>
        <v>0.29326734816459932</v>
      </c>
    </row>
    <row r="44" spans="1:17" ht="72.75" customHeight="1" thickBot="1" x14ac:dyDescent="0.3">
      <c r="A44" s="79"/>
      <c r="B44" s="80" t="s">
        <v>40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2"/>
    </row>
  </sheetData>
  <mergeCells count="22">
    <mergeCell ref="A2:Q2"/>
    <mergeCell ref="B18:Q18"/>
    <mergeCell ref="A5:A20"/>
    <mergeCell ref="B19:Q19"/>
    <mergeCell ref="B20:Q20"/>
    <mergeCell ref="B5:C5"/>
    <mergeCell ref="B6:C6"/>
    <mergeCell ref="J6:K6"/>
    <mergeCell ref="F5:G5"/>
    <mergeCell ref="J5:K5"/>
    <mergeCell ref="F6:G6"/>
    <mergeCell ref="N5:O6"/>
    <mergeCell ref="P5:P6"/>
    <mergeCell ref="N3:Q3"/>
    <mergeCell ref="C3:D3"/>
    <mergeCell ref="A3:B3"/>
    <mergeCell ref="A38:A44"/>
    <mergeCell ref="B44:Q44"/>
    <mergeCell ref="B36:Q36"/>
    <mergeCell ref="A30:A36"/>
    <mergeCell ref="A22:A28"/>
    <mergeCell ref="B28:Q28"/>
  </mergeCell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5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7"/>
  <sheetViews>
    <sheetView zoomScale="115" zoomScaleNormal="115" workbookViewId="0">
      <selection sqref="A1:B1"/>
    </sheetView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6" ht="15.75" thickBot="1" x14ac:dyDescent="0.3">
      <c r="A1" s="105" t="s">
        <v>64</v>
      </c>
      <c r="B1" s="106"/>
      <c r="D1" s="1"/>
    </row>
    <row r="2" spans="1:6" s="7" customFormat="1" ht="4.5" customHeight="1" thickBot="1" x14ac:dyDescent="0.3">
      <c r="A2" s="76"/>
      <c r="B2" s="76"/>
      <c r="D2" s="1"/>
    </row>
    <row r="3" spans="1:6" ht="30.75" customHeight="1" thickBot="1" x14ac:dyDescent="0.3">
      <c r="A3" s="73" t="s">
        <v>6</v>
      </c>
      <c r="B3" s="69" t="s">
        <v>5</v>
      </c>
      <c r="C3" s="4" t="s">
        <v>63</v>
      </c>
      <c r="D3" s="69" t="s">
        <v>62</v>
      </c>
      <c r="E3" s="73" t="s">
        <v>7</v>
      </c>
      <c r="F3" s="69" t="s">
        <v>8</v>
      </c>
    </row>
    <row r="4" spans="1:6" x14ac:dyDescent="0.25">
      <c r="A4" s="67" t="s">
        <v>2</v>
      </c>
      <c r="B4" s="68">
        <v>8.1999999999999993</v>
      </c>
      <c r="C4" s="67">
        <v>12</v>
      </c>
      <c r="D4" s="68">
        <v>24</v>
      </c>
      <c r="E4" s="67">
        <f>5*C4+2*D4</f>
        <v>108</v>
      </c>
      <c r="F4" s="70">
        <f>E4/SUM($E$4:$E$6)</f>
        <v>0.6428571428571429</v>
      </c>
    </row>
    <row r="5" spans="1:6" x14ac:dyDescent="0.25">
      <c r="A5" s="63" t="s">
        <v>3</v>
      </c>
      <c r="B5" s="64">
        <v>11.3</v>
      </c>
      <c r="C5" s="63">
        <v>6</v>
      </c>
      <c r="D5" s="64">
        <v>0</v>
      </c>
      <c r="E5" s="63">
        <f t="shared" ref="E5:E6" si="0">5*C5+2*D5</f>
        <v>30</v>
      </c>
      <c r="F5" s="71">
        <f t="shared" ref="F5:F6" si="1">E5/SUM($E$4:$E$6)</f>
        <v>0.17857142857142858</v>
      </c>
    </row>
    <row r="6" spans="1:6" ht="15.75" thickBot="1" x14ac:dyDescent="0.3">
      <c r="A6" s="65" t="s">
        <v>4</v>
      </c>
      <c r="B6" s="66">
        <v>17</v>
      </c>
      <c r="C6" s="65">
        <v>6</v>
      </c>
      <c r="D6" s="66">
        <v>0</v>
      </c>
      <c r="E6" s="65">
        <f t="shared" si="0"/>
        <v>30</v>
      </c>
      <c r="F6" s="72">
        <f t="shared" si="1"/>
        <v>0.17857142857142858</v>
      </c>
    </row>
    <row r="7" spans="1:6" ht="15.75" thickBot="1" x14ac:dyDescent="0.3">
      <c r="E7" s="74" t="s">
        <v>9</v>
      </c>
      <c r="F7" s="75">
        <f>SUMPRODUCT(F4:F6,B4:B6)</f>
        <v>10.324999999999999</v>
      </c>
    </row>
  </sheetData>
  <mergeCells count="1">
    <mergeCell ref="A1:B1"/>
  </mergeCells>
  <hyperlinks>
    <hyperlink ref="A1:B1" location="'Scenario Analysis'!A1" display="&lt; Go to Report" xr:uid="{B4C8FE6E-2927-4355-A0A9-273540B1FDFF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workbookViewId="0">
      <selection activeCell="K14" sqref="K14"/>
    </sheetView>
  </sheetViews>
  <sheetFormatPr defaultRowHeight="15" x14ac:dyDescent="0.25"/>
  <cols>
    <col min="1" max="1" width="11.140625" bestFit="1" customWidth="1"/>
    <col min="2" max="2" width="10.71093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I1" t="s">
        <v>32</v>
      </c>
      <c r="J1" t="s">
        <v>23</v>
      </c>
    </row>
    <row r="2" spans="1:10" x14ac:dyDescent="0.25">
      <c r="A2" t="s">
        <v>28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29</v>
      </c>
      <c r="I2" s="2">
        <f>MAX(C878:C1332)</f>
        <v>1405.21</v>
      </c>
      <c r="J2" s="5">
        <v>43109</v>
      </c>
    </row>
    <row r="3" spans="1:10" x14ac:dyDescent="0.25">
      <c r="A3" t="s">
        <v>28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30</v>
      </c>
      <c r="I3" s="2">
        <f>MIN(C878:C1332)</f>
        <v>83.149241079000006</v>
      </c>
      <c r="J3" s="5">
        <v>43449</v>
      </c>
    </row>
    <row r="4" spans="1:10" x14ac:dyDescent="0.25">
      <c r="A4" t="s">
        <v>28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28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31</v>
      </c>
      <c r="J5" t="s">
        <v>33</v>
      </c>
    </row>
    <row r="6" spans="1:10" x14ac:dyDescent="0.25">
      <c r="A6" t="s">
        <v>28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28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28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28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28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28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28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28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28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28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28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28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28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28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28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28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28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28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28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28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28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28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28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28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28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28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28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28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28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28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28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28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28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28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28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28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28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28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28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28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28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28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28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28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28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28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28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28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28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28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28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28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28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28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28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28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28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28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28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28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28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28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28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28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28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28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28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28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28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28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28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28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28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28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28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28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28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28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28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28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28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28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28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28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28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28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28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28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28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28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28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28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28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28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28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28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28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28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28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28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28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28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28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28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28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28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28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28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28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28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28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28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28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28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28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28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28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28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28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28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28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28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28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28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28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28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28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28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28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28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28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28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28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28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28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28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28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28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28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28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28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28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28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28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28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28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28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28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28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28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28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28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28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28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28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28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28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28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28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28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28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28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28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28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28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28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28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28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28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28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28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28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28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28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28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28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28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28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28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28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28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28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28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28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28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28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28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28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28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28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28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28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28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28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28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28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28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28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28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28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28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28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28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28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28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28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28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28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28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28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28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28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28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28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28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28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28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28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28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28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28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28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28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28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28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28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28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28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28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28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28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28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28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28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28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28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28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28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28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28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28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28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28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28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28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28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28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28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28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28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28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28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28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28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28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28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28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28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28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28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28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28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28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28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28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28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28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28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28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28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28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28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28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28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28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28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28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28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28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28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28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28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28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28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28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28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28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28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28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28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28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28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28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28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28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28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28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28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28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28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28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28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28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28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28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28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28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28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28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28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28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28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28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28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28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28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28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28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28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28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28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28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28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28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28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28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28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28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28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28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28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28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28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28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28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28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28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28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28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28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28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28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28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28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28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28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28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28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28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28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28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28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28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28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28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28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28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28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28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28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28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28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28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28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28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28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28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28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28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28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28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28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28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28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28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28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28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28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28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28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28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28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28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28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28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28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28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28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28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28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28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28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28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28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28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28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28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28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28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28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28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28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28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28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28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28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28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28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28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28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28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28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28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28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28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28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28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28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28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28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28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28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28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28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28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28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28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28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28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28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28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28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28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28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28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28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28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28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28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28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28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28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28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28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28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28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28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28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28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28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28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28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28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28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28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28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28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28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28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28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28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28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28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28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28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28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28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28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28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28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28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28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28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28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28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28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28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28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28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28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28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28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28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28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28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28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28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28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28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28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28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28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28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28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28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28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28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28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28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28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28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28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28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28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28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28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28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28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28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28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28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28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28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28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28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28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28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28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28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28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28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28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28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28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28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28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28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28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28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28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28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28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28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28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28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28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28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28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28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28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28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28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28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28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28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28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28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28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28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28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28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28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28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28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28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28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28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28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28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28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28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28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28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28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28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28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28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28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28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28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28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28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28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28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28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28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28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28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28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28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28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28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28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28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28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28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28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28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28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28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28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28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28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28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28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28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28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28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28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28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28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28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28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28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28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28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28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28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28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28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28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28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28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28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28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28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28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28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28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28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28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28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28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28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28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28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28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28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28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28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28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28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28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28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28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28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28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28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28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28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28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28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28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28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28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28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28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28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28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28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28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28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28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28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28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28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28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28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28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28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28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28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28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28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28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28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28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28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28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28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28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28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28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28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28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28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28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28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28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28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28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28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28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28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28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28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28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28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28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28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28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28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28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28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28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28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28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28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28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28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28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28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28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28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28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28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28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28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28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28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28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28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28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28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28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28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28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28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28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28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28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28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28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28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28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28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28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28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28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28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28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28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28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28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28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28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28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28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28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28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28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28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28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28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28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28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28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28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28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28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28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28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28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28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28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28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28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28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28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28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28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28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28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28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28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28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28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28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28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28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28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28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28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28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28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28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28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28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28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28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28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28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28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28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28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28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28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28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28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28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28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28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28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28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28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28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28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28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28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28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28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28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28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28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28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28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28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28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28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28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28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28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28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28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28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28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28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28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28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28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28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28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28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28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28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28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28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28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28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28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28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28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28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28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28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28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28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28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28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28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28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28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28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28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28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28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28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28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28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28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28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28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28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28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28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28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28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28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28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28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28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28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28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28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28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28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28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28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28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28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28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28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28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28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28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28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28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28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28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28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28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28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28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28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28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28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28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28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28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28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28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28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28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28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28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28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28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28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28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28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28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28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28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28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28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28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28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28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28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28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28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28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28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28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28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28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28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28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28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28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28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28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28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28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28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28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28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28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28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28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28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28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28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28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28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28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28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28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28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28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28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28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28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28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28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28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28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28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28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28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28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28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28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28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28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28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28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28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28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28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28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28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28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28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28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28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28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28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28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28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28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28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28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28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28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28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28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28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28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28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28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28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28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28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28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28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28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28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28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28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28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28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28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28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28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28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28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28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28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28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28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28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28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28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28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28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28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28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28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28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28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28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28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28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28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28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28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28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28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28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28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28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28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28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28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28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28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28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28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28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28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28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28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28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28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28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28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28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28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28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28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28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28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28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28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28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28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28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28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28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28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28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28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28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28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28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28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28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28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28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28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28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28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28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28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28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28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28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28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28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28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28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28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28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28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28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28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28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28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28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28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28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28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28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28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28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28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28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28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28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28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28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28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28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28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28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28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28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28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28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28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28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28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28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28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28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28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28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28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28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28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28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28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28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28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28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28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28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28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28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28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28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28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28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28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28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28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28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28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28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28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28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28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28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28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28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28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28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28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28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28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28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28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28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28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28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28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28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28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28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28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28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28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28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28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28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28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28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28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28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28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28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28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28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28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28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28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28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28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28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28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28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28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28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28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28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28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28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28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28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28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28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28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28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28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28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28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28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28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28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28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28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28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28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28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28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28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28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28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28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28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28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28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28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28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28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28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28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28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28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28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28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28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28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28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28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28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28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28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28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28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28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28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28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28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28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28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28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28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28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28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28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28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28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28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28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28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28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28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28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28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28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28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28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28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28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28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28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28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28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28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28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28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28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28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28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28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28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28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28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28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28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28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28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28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28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28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28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28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28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28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28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28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28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28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28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28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28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28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28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28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28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28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28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28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28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28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28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28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28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28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28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28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28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28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28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28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28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28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28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28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28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28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28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28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28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28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28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28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28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28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28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28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28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28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28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28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28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28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28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28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28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28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28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28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28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28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28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28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28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28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28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28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28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28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28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28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28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28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28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28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28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28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28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28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28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28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28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28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28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28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28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28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28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28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28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28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28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28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28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28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28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28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28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28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28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28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28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28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28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28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28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28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28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28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28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28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28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28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28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28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28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28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28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28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28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28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28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28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28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28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28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28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28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28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28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28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28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28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28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28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28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28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28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28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28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28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28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28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28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28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28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28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28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28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28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28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28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28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28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28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28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28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28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28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28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28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28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28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28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28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28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28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28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28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28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28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28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28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28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28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28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28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28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28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28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28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28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28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28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28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28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28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28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28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28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28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28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28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28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28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28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28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28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28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28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28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28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28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28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28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28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28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28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28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28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28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28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28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28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28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28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28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28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28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28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28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28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28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28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28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28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28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28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28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28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28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28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28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28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28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28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28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28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28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28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28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28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28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28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28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28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28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28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28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28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28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28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28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28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28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28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28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28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28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28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28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28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28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28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28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28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28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28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28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28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28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28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28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28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28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28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28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28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28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28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28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28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28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28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28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28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28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28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28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28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28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28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28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28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28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28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28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28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28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28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28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28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28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28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28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28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28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28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28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28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28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28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28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28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28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28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28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28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28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28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28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28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28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28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28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28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28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28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28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28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28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28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28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28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28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28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28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28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28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28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28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28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28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28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28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28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28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28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28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28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28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28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28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28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28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28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28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28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28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28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28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28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28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28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28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28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28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28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28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28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28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28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28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28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28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28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28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28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28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28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28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28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28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28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28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28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28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28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28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28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28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28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28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28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28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28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28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28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28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28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28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28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28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28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28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28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28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28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28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28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28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28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28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28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28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28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28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28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28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28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28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28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28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28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28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28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28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28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28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28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28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28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28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28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28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28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28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28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28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28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28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28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28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28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28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28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28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28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28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28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28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28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28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28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28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28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28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28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28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28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28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28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28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28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28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28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28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28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28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28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28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28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28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28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28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28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28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28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28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28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28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28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28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28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28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28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28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28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28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28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28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28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28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28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28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28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28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28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28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28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28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28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28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28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28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28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28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28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28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28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28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28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28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28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28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28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28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28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28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28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28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28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28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28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28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28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28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28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28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28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28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28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28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28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28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28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28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28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28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28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28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28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28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28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28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28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28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28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28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28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28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28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28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28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28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28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28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28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28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28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28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28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28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28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28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28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28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28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28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28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28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28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28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28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28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28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28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28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28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28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28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28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28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28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28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28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28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28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28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28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28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28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28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28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28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28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28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28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28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28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28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28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28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28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28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28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28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28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28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28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28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28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28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28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28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28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28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28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28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28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28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28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28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28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28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28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28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28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28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28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28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28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28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28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28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28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28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28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28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28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28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28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28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28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28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28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28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28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28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28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28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28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28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28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28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28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28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28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28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28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28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28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28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28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28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28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28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28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28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28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28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28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28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28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28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28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28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28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28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28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28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28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28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28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28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28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28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28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28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28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28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28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28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28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28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28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28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28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28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28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28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28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28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28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28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28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28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28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28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28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28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28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28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28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28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28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28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28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28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28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28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28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28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28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28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28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28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28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28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28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28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28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28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28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28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28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28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28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28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28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28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28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28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28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28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28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28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28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28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28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28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28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28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28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28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28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28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28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28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28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28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28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28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28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28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28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28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28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28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28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28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28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28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28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28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28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28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28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28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28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28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28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28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28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28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28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28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28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28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28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28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28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28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28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28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28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28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28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28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28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28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28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28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28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28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28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28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28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28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28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28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28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28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28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28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28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28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28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28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28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28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28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28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Scenario Analysis</vt:lpstr>
      <vt:lpstr>Electricity Calculations</vt:lpstr>
      <vt:lpstr>ETH Price History</vt:lpstr>
      <vt:lpstr>Bear</vt:lpstr>
      <vt:lpstr>'Scenario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2021-06-17T03:07:07Z</cp:lastPrinted>
  <dcterms:created xsi:type="dcterms:W3CDTF">2021-03-17T05:33:13Z</dcterms:created>
  <dcterms:modified xsi:type="dcterms:W3CDTF">2021-06-17T03:07:21Z</dcterms:modified>
</cp:coreProperties>
</file>