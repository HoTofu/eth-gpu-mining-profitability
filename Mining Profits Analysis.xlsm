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1899B9BD-BE9A-46DF-B08F-D9DE5A69807D}" xr6:coauthVersionLast="47" xr6:coauthVersionMax="47" xr10:uidLastSave="{00000000-0000-0000-0000-000000000000}"/>
  <bookViews>
    <workbookView xWindow="-120" yWindow="-120" windowWidth="38640" windowHeight="21240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9" l="1"/>
  <c r="G25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D40" i="9" l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<sst xmlns="http://schemas.openxmlformats.org/spreadsheetml/2006/main" count="2305" uniqueCount="128">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</sst>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0" fontId="15" fillId="6" borderId="7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G25" totalsRowCount="1" headerRowDxfId="15" headerRowBorderDxfId="14" tableBorderDxfId="13">
  <autoFilter ref="F3:G24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12" totalsRowDxfId="11"/>
    <tableColumn id="2" xr3:uid="{1A28A165-771D-4B12-92BE-3F5B7AFAC020}" name="Amount" totalsRowFunction="sum" dataDxfId="10" totalsRowDxfId="9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9" totalsRowCount="1" headerRowDxfId="8" headerRowBorderDxfId="7" tableBorderDxfId="6">
  <autoFilter ref="B3:D38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X15" sqref="X1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40">
        <v>44636</v>
      </c>
      <c r="C2" s="141"/>
    </row>
    <row r="3" spans="1:23" ht="15.75" thickBot="1" x14ac:dyDescent="0.3">
      <c r="D3" s="1"/>
      <c r="H3" s="1"/>
    </row>
    <row r="4" spans="1:23" ht="15.75" thickBot="1" x14ac:dyDescent="0.3">
      <c r="A4" s="146" t="s">
        <v>46</v>
      </c>
      <c r="B4" s="147"/>
      <c r="C4" s="58">
        <v>999.43499999999995</v>
      </c>
      <c r="D4" s="1"/>
      <c r="H4" s="1"/>
    </row>
    <row r="5" spans="1:23" ht="15.75" thickBot="1" x14ac:dyDescent="0.3">
      <c r="A5" s="142" t="s">
        <v>113</v>
      </c>
      <c r="B5" s="143"/>
      <c r="C5" s="57">
        <v>3507.22</v>
      </c>
    </row>
    <row r="6" spans="1:23" s="6" customFormat="1" ht="15.75" thickBot="1" x14ac:dyDescent="0.3">
      <c r="A6" s="142" t="s">
        <v>109</v>
      </c>
      <c r="B6" s="143"/>
      <c r="C6" s="57">
        <v>13491.3</v>
      </c>
    </row>
    <row r="7" spans="1:23" s="6" customFormat="1" ht="15.75" thickBot="1" x14ac:dyDescent="0.3">
      <c r="A7" s="144" t="s">
        <v>112</v>
      </c>
      <c r="B7" s="145"/>
      <c r="C7" s="57">
        <v>6391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400</v>
      </c>
      <c r="C12" s="104">
        <v>450</v>
      </c>
      <c r="D12" s="104">
        <v>550</v>
      </c>
      <c r="E12" s="104">
        <v>650</v>
      </c>
      <c r="F12" s="104">
        <v>500</v>
      </c>
      <c r="G12" s="104">
        <v>500</v>
      </c>
      <c r="H12" s="104">
        <v>600</v>
      </c>
      <c r="I12" s="104">
        <v>700</v>
      </c>
      <c r="J12" s="104">
        <v>750</v>
      </c>
      <c r="K12" s="104">
        <v>950</v>
      </c>
      <c r="L12" s="104">
        <v>1100</v>
      </c>
      <c r="M12" s="104">
        <v>1200</v>
      </c>
      <c r="N12" s="104">
        <v>800</v>
      </c>
      <c r="O12" s="104">
        <v>1150</v>
      </c>
      <c r="P12" s="104">
        <v>900</v>
      </c>
      <c r="Q12" s="104">
        <v>1200</v>
      </c>
      <c r="R12" s="104">
        <v>1200</v>
      </c>
      <c r="S12" s="104">
        <v>1200</v>
      </c>
      <c r="T12" s="104">
        <v>1900</v>
      </c>
      <c r="U12" s="116"/>
      <c r="V12" s="116">
        <v>2300</v>
      </c>
      <c r="W12" s="65">
        <v>2900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tabSelected="1" zoomScaleNormal="100" zoomScaleSheetLayoutView="115" workbookViewId="0">
      <selection activeCell="N21" sqref="N21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4" t="s">
        <v>78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31" s="6" customFormat="1" x14ac:dyDescent="0.25">
      <c r="B3" s="135" t="s">
        <v>44</v>
      </c>
      <c r="C3" s="135"/>
      <c r="D3" s="140">
        <f>'Card Data'!$B$2</f>
        <v>44636</v>
      </c>
      <c r="E3" s="141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48" t="s">
        <v>32</v>
      </c>
      <c r="C5" s="151" t="s">
        <v>56</v>
      </c>
      <c r="D5" s="152"/>
      <c r="E5" s="59">
        <f>'Electricity Calculations'!$G$6</f>
        <v>10.324999999999999</v>
      </c>
      <c r="F5" s="1"/>
      <c r="G5" s="151" t="s">
        <v>50</v>
      </c>
      <c r="H5" s="152"/>
      <c r="I5" s="57">
        <f>'Card Data'!$C$5</f>
        <v>3507.22</v>
      </c>
      <c r="J5" s="1"/>
      <c r="K5" s="151" t="s">
        <v>111</v>
      </c>
      <c r="L5" s="152"/>
      <c r="M5" s="57">
        <f>'Card Data'!$C$7</f>
        <v>6391</v>
      </c>
      <c r="O5" s="146" t="s">
        <v>48</v>
      </c>
      <c r="P5" s="147"/>
      <c r="Q5" s="153">
        <f>$M$5*$M$6*$I$5/$E$6/10000</f>
        <v>4.7343706380104758</v>
      </c>
    </row>
    <row r="6" spans="2:31" s="6" customFormat="1" ht="15.75" thickBot="1" x14ac:dyDescent="0.3">
      <c r="B6" s="149"/>
      <c r="C6" s="151" t="s">
        <v>46</v>
      </c>
      <c r="D6" s="152"/>
      <c r="E6" s="58">
        <f>'Card Data'!$C$4</f>
        <v>999.43499999999995</v>
      </c>
      <c r="F6" s="1"/>
      <c r="G6" s="151" t="s">
        <v>110</v>
      </c>
      <c r="H6" s="152"/>
      <c r="I6" s="57">
        <f>'Card Data'!$C$6</f>
        <v>13491.3</v>
      </c>
      <c r="J6" s="1"/>
      <c r="K6" s="151" t="s">
        <v>39</v>
      </c>
      <c r="L6" s="152"/>
      <c r="M6" s="59">
        <f>$I$6/$M$5</f>
        <v>2.1109841965263652</v>
      </c>
      <c r="O6" s="155"/>
      <c r="P6" s="156"/>
      <c r="Q6" s="154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49"/>
      <c r="W7"/>
      <c r="X7"/>
      <c r="Y7"/>
      <c r="Z7"/>
      <c r="AA7"/>
      <c r="AB7"/>
      <c r="AC7"/>
      <c r="AD7"/>
      <c r="AE7"/>
    </row>
    <row r="8" spans="2:31" ht="15.75" thickBot="1" x14ac:dyDescent="0.3">
      <c r="B8" s="149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49"/>
      <c r="C9" s="26" t="s">
        <v>51</v>
      </c>
      <c r="D9" s="61">
        <f>$Q$5*D10/100</f>
        <v>1.4203111914031428</v>
      </c>
      <c r="E9" s="83">
        <f>$Q$5*E10/100</f>
        <v>1.5102642335253418</v>
      </c>
      <c r="F9" s="27">
        <f t="shared" ref="F9:S9" si="0">$Q$5*F10/100</f>
        <v>1.6096860169235618</v>
      </c>
      <c r="G9" s="27">
        <f t="shared" si="0"/>
        <v>2.1778104934848188</v>
      </c>
      <c r="H9" s="27">
        <f t="shared" si="0"/>
        <v>1.4203111914031428</v>
      </c>
      <c r="I9" s="27">
        <f t="shared" si="0"/>
        <v>1.5149986041633523</v>
      </c>
      <c r="J9" s="27">
        <f t="shared" si="0"/>
        <v>2.0002715945594263</v>
      </c>
      <c r="K9" s="27">
        <f t="shared" si="0"/>
        <v>2.0831230807246093</v>
      </c>
      <c r="L9" s="27">
        <f t="shared" si="0"/>
        <v>2.0357793743445045</v>
      </c>
      <c r="M9" s="27">
        <f t="shared" si="0"/>
        <v>2.0357793743445045</v>
      </c>
      <c r="N9" s="27">
        <f t="shared" si="0"/>
        <v>1.9979044092404208</v>
      </c>
      <c r="O9" s="27">
        <f t="shared" si="0"/>
        <v>2.8027474177022018</v>
      </c>
      <c r="P9" s="27">
        <f t="shared" si="0"/>
        <v>2.8642942359963377</v>
      </c>
      <c r="Q9" s="27">
        <f t="shared" si="0"/>
        <v>2.8671348583791443</v>
      </c>
      <c r="R9" s="27">
        <f t="shared" si="0"/>
        <v>4.4029646933497419</v>
      </c>
      <c r="S9" s="28">
        <f t="shared" si="0"/>
        <v>5.6812447656125711</v>
      </c>
      <c r="T9" s="2"/>
    </row>
    <row r="10" spans="2:31" x14ac:dyDescent="0.25">
      <c r="B10" s="149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49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49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49"/>
      <c r="C13" s="29" t="s">
        <v>52</v>
      </c>
      <c r="D13" s="33">
        <f t="shared" ref="D13:S13" si="2">D9-D12</f>
        <v>1.1229511914031427</v>
      </c>
      <c r="E13" s="87">
        <f t="shared" ref="E13" si="3">E9-E12</f>
        <v>1.1757342335253418</v>
      </c>
      <c r="F13" s="34">
        <f t="shared" si="2"/>
        <v>1.1884260169235619</v>
      </c>
      <c r="G13" s="34">
        <f t="shared" si="2"/>
        <v>1.5830904934848189</v>
      </c>
      <c r="H13" s="34">
        <f t="shared" ref="H13" si="4">H9-H12</f>
        <v>1.1972911914031428</v>
      </c>
      <c r="I13" s="34">
        <f>I9-I12</f>
        <v>1.2919786041633523</v>
      </c>
      <c r="J13" s="34">
        <f t="shared" si="2"/>
        <v>1.7276915945594262</v>
      </c>
      <c r="K13" s="34">
        <f t="shared" si="2"/>
        <v>1.7857630807246094</v>
      </c>
      <c r="L13" s="34">
        <f t="shared" si="2"/>
        <v>1.7260293743445045</v>
      </c>
      <c r="M13" s="34">
        <f t="shared" si="2"/>
        <v>1.7681553743445044</v>
      </c>
      <c r="N13" s="34">
        <f t="shared" si="2"/>
        <v>1.6509844092404209</v>
      </c>
      <c r="O13" s="34">
        <f t="shared" si="2"/>
        <v>2.2328074177022019</v>
      </c>
      <c r="P13" s="34">
        <f t="shared" si="2"/>
        <v>2.5669342359963379</v>
      </c>
      <c r="Q13" s="34">
        <f t="shared" si="2"/>
        <v>2.5697748583791444</v>
      </c>
      <c r="R13" s="34">
        <f t="shared" si="2"/>
        <v>3.7586846933497418</v>
      </c>
      <c r="S13" s="35">
        <f t="shared" si="2"/>
        <v>4.9750147656125714</v>
      </c>
    </row>
    <row r="14" spans="2:31" ht="17.25" x14ac:dyDescent="0.25">
      <c r="B14" s="149"/>
      <c r="C14" s="15" t="s">
        <v>53</v>
      </c>
      <c r="D14" s="19">
        <f>INDEX('Card Data'!$12:$12,MATCH('Nvidia Analysis'!D$8,'Card Data'!$9:$9,0))</f>
        <v>400</v>
      </c>
      <c r="E14" s="88">
        <f>INDEX('Card Data'!$12:$12,MATCH('Nvidia Analysis'!E$8,'Card Data'!$9:$9,0))</f>
        <v>450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650</v>
      </c>
      <c r="H14" s="20">
        <f>INDEX('Card Data'!$12:$12,MATCH('Nvidia Analysis'!H$8,'Card Data'!$9:$9,0))</f>
        <v>500</v>
      </c>
      <c r="I14" s="20">
        <f>INDEX('Card Data'!$12:$12,MATCH('Nvidia Analysis'!I$8,'Card Data'!$9:$9,0))</f>
        <v>500</v>
      </c>
      <c r="J14" s="20">
        <f>INDEX('Card Data'!$12:$12,MATCH('Nvidia Analysis'!J$8,'Card Data'!$9:$9,0))</f>
        <v>600</v>
      </c>
      <c r="K14" s="20">
        <f>INDEX('Card Data'!$12:$12,MATCH('Nvidia Analysis'!K$8,'Card Data'!$9:$9,0))</f>
        <v>700</v>
      </c>
      <c r="L14" s="20">
        <f>INDEX('Card Data'!$12:$12,MATCH('Nvidia Analysis'!L$8,'Card Data'!$9:$9,0))</f>
        <v>750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1150</v>
      </c>
      <c r="Q14" s="20">
        <f>INDEX('Card Data'!$12:$12,MATCH('Nvidia Analysis'!Q$8,'Card Data'!$9:$9,0))</f>
        <v>1200</v>
      </c>
      <c r="R14" s="20">
        <f>INDEX('Card Data'!$12:$12,MATCH('Nvidia Analysis'!R$8,'Card Data'!$9:$9,0))</f>
        <v>1900</v>
      </c>
      <c r="S14" s="21">
        <f>INDEX('Card Data'!$12:$12,MATCH('Nvidia Analysis'!S$8,'Card Data'!$9:$9,0))</f>
        <v>2900</v>
      </c>
    </row>
    <row r="15" spans="2:31" x14ac:dyDescent="0.25">
      <c r="B15" s="149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49"/>
      <c r="C16" s="15" t="s">
        <v>54</v>
      </c>
      <c r="D16" s="39">
        <f t="shared" ref="D16:E16" si="6">D14/D13</f>
        <v>356.20426164755622</v>
      </c>
      <c r="E16" s="90">
        <f t="shared" si="6"/>
        <v>382.73955726432519</v>
      </c>
      <c r="F16" s="40">
        <f t="shared" ref="F16:S16" si="7">F14/F13</f>
        <v>462.79700390922636</v>
      </c>
      <c r="G16" s="40">
        <f t="shared" si="7"/>
        <v>410.58928890992877</v>
      </c>
      <c r="H16" s="40">
        <f t="shared" ref="H16" si="8">H14/H13</f>
        <v>417.60935317166616</v>
      </c>
      <c r="I16" s="40">
        <f t="shared" si="7"/>
        <v>387.0033128944774</v>
      </c>
      <c r="J16" s="40">
        <f t="shared" si="7"/>
        <v>347.28420389925225</v>
      </c>
      <c r="K16" s="40">
        <f t="shared" si="7"/>
        <v>391.98928881201914</v>
      </c>
      <c r="L16" s="40">
        <f>L14/L13</f>
        <v>434.52331179753418</v>
      </c>
      <c r="M16" s="40">
        <f t="shared" si="7"/>
        <v>537.28309954219196</v>
      </c>
      <c r="N16" s="40">
        <f t="shared" si="7"/>
        <v>666.26916271491871</v>
      </c>
      <c r="O16" s="40">
        <f t="shared" si="7"/>
        <v>537.43999168317373</v>
      </c>
      <c r="P16" s="40">
        <f t="shared" si="7"/>
        <v>448.00524449495117</v>
      </c>
      <c r="Q16" s="40">
        <f t="shared" si="7"/>
        <v>466.96697809429344</v>
      </c>
      <c r="R16" s="40">
        <f t="shared" si="7"/>
        <v>505.49597931469987</v>
      </c>
      <c r="S16" s="41">
        <f t="shared" si="7"/>
        <v>582.91284280096488</v>
      </c>
    </row>
    <row r="17" spans="2:31" ht="18" thickBot="1" x14ac:dyDescent="0.3">
      <c r="B17" s="149"/>
      <c r="C17" s="8" t="s">
        <v>40</v>
      </c>
      <c r="D17" s="36">
        <f>IFERROR(D13*365/D14,"N/A")</f>
        <v>1.0246929621553678</v>
      </c>
      <c r="E17" s="91">
        <f t="shared" ref="E17:S17" si="9">IFERROR(E13*365/E14,"N/A")</f>
        <v>0.95365110052611057</v>
      </c>
      <c r="F17" s="37">
        <f t="shared" si="9"/>
        <v>0.78868272032200015</v>
      </c>
      <c r="G17" s="37">
        <f t="shared" si="9"/>
        <v>0.88896620018762917</v>
      </c>
      <c r="H17" s="37">
        <f t="shared" si="9"/>
        <v>0.87402256972429426</v>
      </c>
      <c r="I17" s="37">
        <f t="shared" si="9"/>
        <v>0.94314438103924714</v>
      </c>
      <c r="J17" s="37">
        <f t="shared" si="9"/>
        <v>1.0510123866903176</v>
      </c>
      <c r="K17" s="37">
        <f t="shared" si="9"/>
        <v>0.93114789209211768</v>
      </c>
      <c r="L17" s="37">
        <f t="shared" si="9"/>
        <v>0.84000096218099229</v>
      </c>
      <c r="M17" s="37">
        <f t="shared" si="9"/>
        <v>0.67934390698499381</v>
      </c>
      <c r="N17" s="37">
        <f t="shared" si="9"/>
        <v>0.54782664488432142</v>
      </c>
      <c r="O17" s="37">
        <f t="shared" si="9"/>
        <v>0.6791455895510865</v>
      </c>
      <c r="P17" s="37">
        <f t="shared" si="9"/>
        <v>0.81472260533796814</v>
      </c>
      <c r="Q17" s="37">
        <f t="shared" si="9"/>
        <v>0.78163985275698977</v>
      </c>
      <c r="R17" s="37">
        <f t="shared" si="9"/>
        <v>0.72206311214350305</v>
      </c>
      <c r="S17" s="38">
        <f t="shared" si="9"/>
        <v>0.62616565153399606</v>
      </c>
    </row>
    <row r="18" spans="2:31" s="6" customFormat="1" x14ac:dyDescent="0.25">
      <c r="B18" s="149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49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50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48" t="s">
        <v>18</v>
      </c>
      <c r="C22" s="108" t="s">
        <v>33</v>
      </c>
      <c r="D22" s="60">
        <f>1-2/$M$6</f>
        <v>5.2574622163913065E-2</v>
      </c>
      <c r="E22" s="92"/>
    </row>
    <row r="23" spans="2:31" ht="15.75" customHeight="1" thickBot="1" x14ac:dyDescent="0.3">
      <c r="B23" s="149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49"/>
      <c r="C24" s="42" t="s">
        <v>35</v>
      </c>
      <c r="D24" s="43">
        <f t="shared" ref="D24:S24" si="11">D$9*(1-$D$22)</f>
        <v>1.3456388671599453</v>
      </c>
      <c r="E24" s="93">
        <f t="shared" si="11"/>
        <v>1.4308626620800751</v>
      </c>
      <c r="F24" s="44">
        <f t="shared" si="11"/>
        <v>1.5250573827812715</v>
      </c>
      <c r="G24" s="44">
        <f t="shared" si="11"/>
        <v>2.0633129296452495</v>
      </c>
      <c r="H24" s="44">
        <f t="shared" si="11"/>
        <v>1.3456388671599453</v>
      </c>
      <c r="I24" s="44">
        <f t="shared" si="11"/>
        <v>1.4353481249706084</v>
      </c>
      <c r="J24" s="44">
        <f t="shared" si="11"/>
        <v>1.8951080712502566</v>
      </c>
      <c r="K24" s="44">
        <f t="shared" si="11"/>
        <v>1.9736036718345864</v>
      </c>
      <c r="L24" s="44">
        <f t="shared" si="11"/>
        <v>1.9287490429292549</v>
      </c>
      <c r="M24" s="44">
        <f t="shared" si="11"/>
        <v>1.9287490429292549</v>
      </c>
      <c r="N24" s="44">
        <f t="shared" si="11"/>
        <v>1.8928653398049897</v>
      </c>
      <c r="O24" s="44">
        <f t="shared" si="11"/>
        <v>2.6553940311956254</v>
      </c>
      <c r="P24" s="44">
        <f t="shared" si="11"/>
        <v>2.7137050487725562</v>
      </c>
      <c r="Q24" s="44">
        <f t="shared" si="11"/>
        <v>2.7163963265068762</v>
      </c>
      <c r="R24" s="44">
        <f t="shared" si="11"/>
        <v>4.1714804881958303</v>
      </c>
      <c r="S24" s="45">
        <f t="shared" si="11"/>
        <v>5.3825554686397812</v>
      </c>
    </row>
    <row r="25" spans="2:31" x14ac:dyDescent="0.25">
      <c r="B25" s="149"/>
      <c r="C25" s="22" t="s">
        <v>17</v>
      </c>
      <c r="D25" s="50">
        <f t="shared" ref="D25:S25" si="12">D24-D$12</f>
        <v>1.0482788671599454</v>
      </c>
      <c r="E25" s="94">
        <f t="shared" ref="E25" si="13">E24-E$12</f>
        <v>1.0963326620800751</v>
      </c>
      <c r="F25" s="51">
        <f t="shared" si="12"/>
        <v>1.1037973827812715</v>
      </c>
      <c r="G25" s="51">
        <f t="shared" si="12"/>
        <v>1.4685929296452496</v>
      </c>
      <c r="H25" s="51">
        <f t="shared" ref="H25" si="14">H24-H$12</f>
        <v>1.1226188671599453</v>
      </c>
      <c r="I25" s="51">
        <f t="shared" si="12"/>
        <v>1.2123281249706084</v>
      </c>
      <c r="J25" s="51">
        <f t="shared" si="12"/>
        <v>1.6225280712502566</v>
      </c>
      <c r="K25" s="51">
        <f t="shared" si="12"/>
        <v>1.6762436718345866</v>
      </c>
      <c r="L25" s="51">
        <f t="shared" si="12"/>
        <v>1.6189990429292549</v>
      </c>
      <c r="M25" s="51">
        <f t="shared" si="12"/>
        <v>1.661125042929255</v>
      </c>
      <c r="N25" s="51">
        <f t="shared" si="12"/>
        <v>1.5459453398049898</v>
      </c>
      <c r="O25" s="51">
        <f t="shared" si="12"/>
        <v>2.0854540311956256</v>
      </c>
      <c r="P25" s="51">
        <f t="shared" si="12"/>
        <v>2.4163450487725564</v>
      </c>
      <c r="Q25" s="51">
        <f t="shared" si="12"/>
        <v>2.4190363265068764</v>
      </c>
      <c r="R25" s="51">
        <f t="shared" si="12"/>
        <v>3.5272004881958301</v>
      </c>
      <c r="S25" s="52">
        <f t="shared" si="12"/>
        <v>4.6763254686397815</v>
      </c>
    </row>
    <row r="26" spans="2:31" x14ac:dyDescent="0.25">
      <c r="B26" s="149"/>
      <c r="C26" s="46" t="s">
        <v>15</v>
      </c>
      <c r="D26" s="47">
        <f t="shared" ref="D26:S26" si="15">IF(D25&gt;0,D$14/D25,"N/A")</f>
        <v>381.57785349971039</v>
      </c>
      <c r="E26" s="95">
        <f t="shared" ref="E26" si="16">IF(E25&gt;0,E$14/E25,"N/A")</f>
        <v>410.45935742369812</v>
      </c>
      <c r="F26" s="48">
        <f t="shared" si="15"/>
        <v>498.27985514347608</v>
      </c>
      <c r="G26" s="48">
        <f t="shared" si="15"/>
        <v>442.60052386130764</v>
      </c>
      <c r="H26" s="48">
        <f t="shared" ref="H26" si="17">IF(H25&gt;0,H$14/H25,"N/A")</f>
        <v>445.38713416150205</v>
      </c>
      <c r="I26" s="48">
        <f t="shared" si="15"/>
        <v>412.42959698895214</v>
      </c>
      <c r="J26" s="48">
        <f t="shared" si="15"/>
        <v>369.79329395371479</v>
      </c>
      <c r="K26" s="48">
        <f t="shared" si="15"/>
        <v>417.6003833821344</v>
      </c>
      <c r="L26" s="48">
        <f t="shared" si="15"/>
        <v>463.24919293529973</v>
      </c>
      <c r="M26" s="48">
        <f t="shared" si="15"/>
        <v>571.9015579493971</v>
      </c>
      <c r="N26" s="48">
        <f t="shared" si="15"/>
        <v>711.53874052154868</v>
      </c>
      <c r="O26" s="48">
        <f t="shared" si="15"/>
        <v>575.41426569446844</v>
      </c>
      <c r="P26" s="48">
        <f t="shared" si="15"/>
        <v>475.92540667326119</v>
      </c>
      <c r="Q26" s="48">
        <f t="shared" si="15"/>
        <v>496.06530784629325</v>
      </c>
      <c r="R26" s="48">
        <f t="shared" si="15"/>
        <v>538.67082587410664</v>
      </c>
      <c r="S26" s="49">
        <f t="shared" si="15"/>
        <v>620.1450304192648</v>
      </c>
    </row>
    <row r="27" spans="2:31" ht="15.75" thickBot="1" x14ac:dyDescent="0.3">
      <c r="B27" s="149"/>
      <c r="C27" s="53" t="s">
        <v>16</v>
      </c>
      <c r="D27" s="54">
        <f>IFERROR(D25*365/D$14,"N/A")</f>
        <v>0.9565544662834502</v>
      </c>
      <c r="E27" s="96">
        <f t="shared" ref="E27:S27" si="18">IFERROR(E25*365/E$14,"N/A")</f>
        <v>0.88924760368717204</v>
      </c>
      <c r="F27" s="55">
        <f t="shared" si="18"/>
        <v>0.73252008130029833</v>
      </c>
      <c r="G27" s="55">
        <f t="shared" si="18"/>
        <v>0.8246714143392555</v>
      </c>
      <c r="H27" s="55">
        <f t="shared" si="18"/>
        <v>0.81951177302676015</v>
      </c>
      <c r="I27" s="55">
        <f t="shared" si="18"/>
        <v>0.88499953122854413</v>
      </c>
      <c r="J27" s="55">
        <f t="shared" si="18"/>
        <v>0.98703791001057273</v>
      </c>
      <c r="K27" s="55">
        <f t="shared" si="18"/>
        <v>0.87404134317089155</v>
      </c>
      <c r="L27" s="55">
        <f t="shared" si="18"/>
        <v>0.78791286755890411</v>
      </c>
      <c r="M27" s="55">
        <f t="shared" si="18"/>
        <v>0.63822172702018742</v>
      </c>
      <c r="N27" s="55">
        <f t="shared" si="18"/>
        <v>0.51297277184438295</v>
      </c>
      <c r="O27" s="55">
        <f t="shared" si="18"/>
        <v>0.63432560115533609</v>
      </c>
      <c r="P27" s="55">
        <f t="shared" si="18"/>
        <v>0.76692690678433306</v>
      </c>
      <c r="Q27" s="55">
        <f t="shared" si="18"/>
        <v>0.73579021597917493</v>
      </c>
      <c r="R27" s="55">
        <f t="shared" si="18"/>
        <v>0.67759377799551479</v>
      </c>
      <c r="S27" s="56">
        <f t="shared" si="18"/>
        <v>0.58857199863914489</v>
      </c>
    </row>
    <row r="28" spans="2:31" ht="108.75" customHeight="1" thickBot="1" x14ac:dyDescent="0.3">
      <c r="B28" s="150"/>
      <c r="C28" s="157" t="s">
        <v>38</v>
      </c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9"/>
    </row>
    <row r="29" spans="2:31" ht="15.75" thickBot="1" x14ac:dyDescent="0.3"/>
    <row r="30" spans="2:31" ht="15.75" thickBot="1" x14ac:dyDescent="0.3">
      <c r="B30" s="148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49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49"/>
      <c r="C32" s="42" t="s">
        <v>35</v>
      </c>
      <c r="D32" s="43">
        <f t="shared" ref="D32:S32" si="20">D$9*(1-$D$30)</f>
        <v>8.3904504545523811E-2</v>
      </c>
      <c r="E32" s="93">
        <f t="shared" si="20"/>
        <v>8.9218456500073651E-2</v>
      </c>
      <c r="F32" s="44">
        <f t="shared" si="20"/>
        <v>9.5091771818260326E-2</v>
      </c>
      <c r="G32" s="44">
        <f t="shared" si="20"/>
        <v>0.12865357363646984</v>
      </c>
      <c r="H32" s="44">
        <f t="shared" si="20"/>
        <v>8.3904504545523811E-2</v>
      </c>
      <c r="I32" s="44">
        <f t="shared" si="20"/>
        <v>8.9498138181892062E-2</v>
      </c>
      <c r="J32" s="44">
        <f t="shared" si="20"/>
        <v>0.11816551056827938</v>
      </c>
      <c r="K32" s="44">
        <f t="shared" si="20"/>
        <v>0.12305994000010159</v>
      </c>
      <c r="L32" s="44">
        <f t="shared" si="20"/>
        <v>0.12026312318191745</v>
      </c>
      <c r="M32" s="44">
        <f t="shared" si="20"/>
        <v>0.12026312318191745</v>
      </c>
      <c r="N32" s="44">
        <f t="shared" si="20"/>
        <v>0.11802566972737016</v>
      </c>
      <c r="O32" s="44">
        <f t="shared" si="20"/>
        <v>0.16557155563650033</v>
      </c>
      <c r="P32" s="44">
        <f t="shared" si="20"/>
        <v>0.16920741750013968</v>
      </c>
      <c r="Q32" s="44">
        <f t="shared" si="20"/>
        <v>0.16937522650923073</v>
      </c>
      <c r="R32" s="44">
        <f t="shared" si="20"/>
        <v>0.2601039640911238</v>
      </c>
      <c r="S32" s="45">
        <f t="shared" si="20"/>
        <v>0.33561801818209525</v>
      </c>
    </row>
    <row r="33" spans="2:19" x14ac:dyDescent="0.25">
      <c r="B33" s="149"/>
      <c r="C33" s="22" t="s">
        <v>17</v>
      </c>
      <c r="D33" s="50">
        <f t="shared" ref="D33:S33" si="21">D32-D$12</f>
        <v>-0.21345549545447615</v>
      </c>
      <c r="E33" s="94">
        <f t="shared" ref="E33" si="22">E32-E$12</f>
        <v>-0.2453115434999264</v>
      </c>
      <c r="F33" s="51">
        <f t="shared" si="21"/>
        <v>-0.32616822818173963</v>
      </c>
      <c r="G33" s="51">
        <f t="shared" si="21"/>
        <v>-0.46606642636353007</v>
      </c>
      <c r="H33" s="51">
        <f t="shared" ref="H33" si="23">H32-H$12</f>
        <v>-0.13911549545447618</v>
      </c>
      <c r="I33" s="51">
        <f t="shared" si="21"/>
        <v>-0.13352186181810793</v>
      </c>
      <c r="J33" s="51">
        <f t="shared" si="21"/>
        <v>-0.15441448943172059</v>
      </c>
      <c r="K33" s="51">
        <f t="shared" si="21"/>
        <v>-0.17430005999989837</v>
      </c>
      <c r="L33" s="51">
        <f t="shared" si="21"/>
        <v>-0.18948687681808252</v>
      </c>
      <c r="M33" s="51">
        <f t="shared" si="21"/>
        <v>-0.14736087681808252</v>
      </c>
      <c r="N33" s="51">
        <f t="shared" si="21"/>
        <v>-0.22889433027262979</v>
      </c>
      <c r="O33" s="51">
        <f t="shared" si="21"/>
        <v>-0.40436844436349956</v>
      </c>
      <c r="P33" s="51">
        <f t="shared" si="21"/>
        <v>-0.12815258249986028</v>
      </c>
      <c r="Q33" s="51">
        <f t="shared" si="21"/>
        <v>-0.12798477349076923</v>
      </c>
      <c r="R33" s="51">
        <f t="shared" si="21"/>
        <v>-0.38417603590887617</v>
      </c>
      <c r="S33" s="52">
        <f t="shared" si="21"/>
        <v>-0.37061198181790467</v>
      </c>
    </row>
    <row r="34" spans="2:19" x14ac:dyDescent="0.25">
      <c r="B34" s="149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49"/>
      <c r="C35" s="53" t="s">
        <v>16</v>
      </c>
      <c r="D35" s="54">
        <f>IFERROR(D33*365/D$14,"N/A")</f>
        <v>-0.19477813960220949</v>
      </c>
      <c r="E35" s="96">
        <f t="shared" ref="E35:S35" si="27">IFERROR(E33*365/E$14,"N/A")</f>
        <v>-0.19897491861660696</v>
      </c>
      <c r="F35" s="55">
        <f t="shared" si="27"/>
        <v>-0.21645709688424539</v>
      </c>
      <c r="G35" s="55">
        <f t="shared" si="27"/>
        <v>-0.26171422403490535</v>
      </c>
      <c r="H35" s="55">
        <f t="shared" si="27"/>
        <v>-0.10155431168176761</v>
      </c>
      <c r="I35" s="55">
        <f t="shared" si="27"/>
        <v>-9.7470959127218787E-2</v>
      </c>
      <c r="J35" s="55">
        <f t="shared" si="27"/>
        <v>-9.3935481070963361E-2</v>
      </c>
      <c r="K35" s="55">
        <f t="shared" si="27"/>
        <v>-9.0885031285661291E-2</v>
      </c>
      <c r="L35" s="55">
        <f t="shared" si="27"/>
        <v>-9.2216946718133505E-2</v>
      </c>
      <c r="M35" s="55">
        <f t="shared" si="27"/>
        <v>-5.661760004063171E-2</v>
      </c>
      <c r="N35" s="55">
        <f t="shared" si="27"/>
        <v>-7.5951300499554439E-2</v>
      </c>
      <c r="O35" s="55">
        <f t="shared" si="27"/>
        <v>-0.12299540182723111</v>
      </c>
      <c r="P35" s="55">
        <f t="shared" si="27"/>
        <v>-4.0674515315173042E-2</v>
      </c>
      <c r="Q35" s="55">
        <f t="shared" si="27"/>
        <v>-3.8928701936775639E-2</v>
      </c>
      <c r="R35" s="55">
        <f t="shared" si="27"/>
        <v>-7.3802238477231483E-2</v>
      </c>
      <c r="S35" s="56">
        <f t="shared" si="27"/>
        <v>-4.6645990815012139E-2</v>
      </c>
    </row>
    <row r="36" spans="2:19" ht="80.25" customHeight="1" thickBot="1" x14ac:dyDescent="0.3">
      <c r="B36" s="150"/>
      <c r="C36" s="157" t="s">
        <v>47</v>
      </c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9"/>
    </row>
    <row r="37" spans="2:19" ht="15.75" thickBot="1" x14ac:dyDescent="0.3"/>
    <row r="38" spans="2:19" ht="15.75" thickBot="1" x14ac:dyDescent="0.3">
      <c r="B38" s="148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49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49"/>
      <c r="C40" s="42" t="s">
        <v>35</v>
      </c>
      <c r="D40" s="43">
        <f t="shared" ref="D40:S40" si="29">D$9*(1-$D$38)</f>
        <v>0.49028535788649413</v>
      </c>
      <c r="E40" s="93">
        <f t="shared" si="29"/>
        <v>0.52133676388597205</v>
      </c>
      <c r="F40" s="44">
        <f t="shared" si="29"/>
        <v>0.5556567389380267</v>
      </c>
      <c r="G40" s="44">
        <f t="shared" si="29"/>
        <v>0.75177088209262433</v>
      </c>
      <c r="H40" s="44">
        <f t="shared" si="29"/>
        <v>0.49028535788649413</v>
      </c>
      <c r="I40" s="44">
        <f t="shared" si="29"/>
        <v>0.52297104841226039</v>
      </c>
      <c r="J40" s="44">
        <f t="shared" si="29"/>
        <v>0.69048521235681259</v>
      </c>
      <c r="K40" s="44">
        <f t="shared" si="29"/>
        <v>0.71908519156685802</v>
      </c>
      <c r="L40" s="44">
        <f t="shared" si="29"/>
        <v>0.70274234630397492</v>
      </c>
      <c r="M40" s="44">
        <f t="shared" si="29"/>
        <v>0.70274234630397492</v>
      </c>
      <c r="N40" s="44">
        <f t="shared" si="29"/>
        <v>0.68966807009366837</v>
      </c>
      <c r="O40" s="44">
        <f t="shared" si="29"/>
        <v>0.96749643956268172</v>
      </c>
      <c r="P40" s="44">
        <f t="shared" si="29"/>
        <v>0.9887421384044297</v>
      </c>
      <c r="Q40" s="44">
        <f t="shared" si="29"/>
        <v>0.98972270912020288</v>
      </c>
      <c r="R40" s="44">
        <f t="shared" si="29"/>
        <v>1.5198846094481315</v>
      </c>
      <c r="S40" s="45">
        <f t="shared" si="29"/>
        <v>1.9611414315459765</v>
      </c>
    </row>
    <row r="41" spans="2:19" x14ac:dyDescent="0.25">
      <c r="B41" s="149"/>
      <c r="C41" s="22" t="s">
        <v>17</v>
      </c>
      <c r="D41" s="50">
        <f>D40-D$12</f>
        <v>0.19292535788649418</v>
      </c>
      <c r="E41" s="94">
        <f>E40-E$12</f>
        <v>0.186806763885972</v>
      </c>
      <c r="F41" s="51">
        <f>F40-F$12</f>
        <v>0.13439673893802673</v>
      </c>
      <c r="G41" s="51">
        <f t="shared" ref="G41:H41" si="30">G40-G$12</f>
        <v>0.15705088209262441</v>
      </c>
      <c r="H41" s="51">
        <f t="shared" si="30"/>
        <v>0.26726535788649414</v>
      </c>
      <c r="I41" s="51">
        <f t="shared" ref="I41" si="31">I40-I$12</f>
        <v>0.29995104841226039</v>
      </c>
      <c r="J41" s="51">
        <f t="shared" ref="J41" si="32">J40-J$12</f>
        <v>0.41790521235681261</v>
      </c>
      <c r="K41" s="51">
        <f t="shared" ref="K41" si="33">K40-K$12</f>
        <v>0.42172519156685806</v>
      </c>
      <c r="L41" s="51">
        <f t="shared" ref="L41" si="34">L40-L$12</f>
        <v>0.39299234630397495</v>
      </c>
      <c r="M41" s="51">
        <f t="shared" ref="M41" si="35">M40-M$12</f>
        <v>0.43511834630397495</v>
      </c>
      <c r="N41" s="51">
        <f t="shared" ref="N41" si="36">N40-N$12</f>
        <v>0.34274807009366842</v>
      </c>
      <c r="O41" s="51">
        <f t="shared" ref="O41" si="37">O40-O$12</f>
        <v>0.39755643956268183</v>
      </c>
      <c r="P41" s="51">
        <f t="shared" ref="P41" si="38">P40-P$12</f>
        <v>0.69138213840442975</v>
      </c>
      <c r="Q41" s="51">
        <f t="shared" ref="Q41" si="39">Q40-Q$12</f>
        <v>0.69236270912020292</v>
      </c>
      <c r="R41" s="51">
        <f t="shared" ref="R41" si="40">R40-R$12</f>
        <v>0.87560460944813157</v>
      </c>
      <c r="S41" s="52">
        <f>S40-S$12</f>
        <v>1.2549114315459766</v>
      </c>
    </row>
    <row r="42" spans="2:19" x14ac:dyDescent="0.25">
      <c r="B42" s="149"/>
      <c r="C42" s="46" t="s">
        <v>15</v>
      </c>
      <c r="D42" s="47">
        <f>IF(D41&gt;0,D$14/D41,"N/A")</f>
        <v>2073.340717788567</v>
      </c>
      <c r="E42" s="95">
        <f>IF(E41&gt;0,E$14/E41,"N/A")</f>
        <v>2408.9063513496908</v>
      </c>
      <c r="F42" s="48">
        <f>IF(F41&gt;0,F$14/F41,"N/A")</f>
        <v>4092.3612012164745</v>
      </c>
      <c r="G42" s="48">
        <f t="shared" ref="G42:H42" si="41">IF(G41&gt;0,G$14/G41,"N/A")</f>
        <v>4138.7860503492584</v>
      </c>
      <c r="H42" s="48">
        <f t="shared" si="41"/>
        <v>1870.7998820121938</v>
      </c>
      <c r="I42" s="48">
        <f t="shared" ref="I42" si="42">IF(I41&gt;0,I$14/I41,"N/A")</f>
        <v>1666.9386643142757</v>
      </c>
      <c r="J42" s="48">
        <f t="shared" ref="J42" si="43">IF(J41&gt;0,J$14/J41,"N/A")</f>
        <v>1435.7322719576721</v>
      </c>
      <c r="K42" s="48">
        <f t="shared" ref="K42" si="44">IF(K41&gt;0,K$14/K41,"N/A")</f>
        <v>1659.8486739652728</v>
      </c>
      <c r="L42" s="48">
        <f t="shared" ref="L42" si="45">IF(L41&gt;0,L$14/L41,"N/A")</f>
        <v>1908.4341134213435</v>
      </c>
      <c r="M42" s="48">
        <f t="shared" ref="M42" si="46">IF(M41&gt;0,M$14/M41,"N/A")</f>
        <v>2183.3140525321064</v>
      </c>
      <c r="N42" s="48">
        <f t="shared" ref="N42" si="47">IF(N41&gt;0,N$14/N41,"N/A")</f>
        <v>3209.3543216724311</v>
      </c>
      <c r="O42" s="48">
        <f t="shared" ref="O42" si="48">IF(O41&gt;0,O$14/O41,"N/A")</f>
        <v>3018.4393474295584</v>
      </c>
      <c r="P42" s="48">
        <f t="shared" ref="P42" si="49">IF(P41&gt;0,P$14/P41,"N/A")</f>
        <v>1663.3348420801954</v>
      </c>
      <c r="Q42" s="48">
        <f t="shared" ref="Q42" si="50">IF(Q41&gt;0,Q$14/Q41,"N/A")</f>
        <v>1733.1955984816982</v>
      </c>
      <c r="R42" s="48">
        <f t="shared" ref="R42" si="51">IF(R41&gt;0,R$14/R41,"N/A")</f>
        <v>2169.9291889263986</v>
      </c>
      <c r="S42" s="49">
        <f>IF(S41&gt;0,S$14/S41,"N/A")</f>
        <v>2310.9200594558069</v>
      </c>
    </row>
    <row r="43" spans="2:19" ht="15.75" thickBot="1" x14ac:dyDescent="0.3">
      <c r="B43" s="149"/>
      <c r="C43" s="53" t="s">
        <v>16</v>
      </c>
      <c r="D43" s="12">
        <f>IFERROR(D41*365/D$14,"N/A")</f>
        <v>0.17604438907142594</v>
      </c>
      <c r="E43" s="97">
        <f t="shared" ref="E43:S43" si="52">IFERROR(E41*365/E$14,"N/A")</f>
        <v>0.15152104181862175</v>
      </c>
      <c r="F43" s="13">
        <f t="shared" si="52"/>
        <v>8.9190563113417734E-2</v>
      </c>
      <c r="G43" s="13">
        <f t="shared" si="52"/>
        <v>8.8190110713550623E-2</v>
      </c>
      <c r="H43" s="13">
        <f t="shared" si="52"/>
        <v>0.19510371125714074</v>
      </c>
      <c r="I43" s="13">
        <f t="shared" si="52"/>
        <v>0.21896426534095006</v>
      </c>
      <c r="J43" s="13">
        <f t="shared" si="52"/>
        <v>0.25422567085039433</v>
      </c>
      <c r="K43" s="13">
        <f t="shared" si="52"/>
        <v>0.21989956417414744</v>
      </c>
      <c r="L43" s="13">
        <f t="shared" si="52"/>
        <v>0.19125627520126781</v>
      </c>
      <c r="M43" s="13">
        <f t="shared" si="52"/>
        <v>0.16717704884310616</v>
      </c>
      <c r="N43" s="13">
        <f t="shared" si="52"/>
        <v>0.11373004144017179</v>
      </c>
      <c r="O43" s="13">
        <f t="shared" si="52"/>
        <v>0.12092341703364906</v>
      </c>
      <c r="P43" s="13">
        <f t="shared" si="52"/>
        <v>0.21943867871097117</v>
      </c>
      <c r="Q43" s="13">
        <f t="shared" si="52"/>
        <v>0.21059365735739505</v>
      </c>
      <c r="R43" s="13">
        <f t="shared" si="52"/>
        <v>0.16820825392029895</v>
      </c>
      <c r="S43" s="14">
        <f t="shared" si="52"/>
        <v>0.1579457491428557</v>
      </c>
    </row>
    <row r="44" spans="2:19" ht="74.25" customHeight="1" thickBot="1" x14ac:dyDescent="0.3">
      <c r="B44" s="150"/>
      <c r="C44" s="157" t="s">
        <v>37</v>
      </c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9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4" t="s">
        <v>75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21" x14ac:dyDescent="0.25">
      <c r="B3" s="135" t="s">
        <v>44</v>
      </c>
      <c r="C3" s="135"/>
      <c r="D3" s="140">
        <f>'Card Data'!$B$2</f>
        <v>44636</v>
      </c>
      <c r="E3" s="141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48" t="s">
        <v>32</v>
      </c>
      <c r="C5" s="151" t="s">
        <v>56</v>
      </c>
      <c r="D5" s="152"/>
      <c r="E5" s="59">
        <f>'Electricity Calculations'!$G$6</f>
        <v>10.324999999999999</v>
      </c>
      <c r="F5" s="1"/>
      <c r="G5" s="151" t="s">
        <v>50</v>
      </c>
      <c r="H5" s="152"/>
      <c r="I5" s="57">
        <f>'Card Data'!$C$5</f>
        <v>3507.22</v>
      </c>
      <c r="J5" s="1"/>
      <c r="K5" s="151" t="s">
        <v>111</v>
      </c>
      <c r="L5" s="152"/>
      <c r="M5" s="57">
        <f>'Card Data'!$C$7</f>
        <v>6391</v>
      </c>
      <c r="O5" s="146" t="s">
        <v>48</v>
      </c>
      <c r="P5" s="147"/>
      <c r="Q5" s="153">
        <f>$M$5*$M$6*$I$5/$E$6/10000</f>
        <v>4.7343706380104758</v>
      </c>
    </row>
    <row r="6" spans="2:21" ht="15.75" thickBot="1" x14ac:dyDescent="0.3">
      <c r="B6" s="149"/>
      <c r="C6" s="151" t="s">
        <v>46</v>
      </c>
      <c r="D6" s="152"/>
      <c r="E6" s="58">
        <f>'Card Data'!$C$4</f>
        <v>999.43499999999995</v>
      </c>
      <c r="F6" s="1"/>
      <c r="G6" s="151" t="s">
        <v>110</v>
      </c>
      <c r="H6" s="152"/>
      <c r="I6" s="57">
        <f>'Card Data'!$C$6</f>
        <v>13491.3</v>
      </c>
      <c r="J6" s="1"/>
      <c r="K6" s="151" t="s">
        <v>39</v>
      </c>
      <c r="L6" s="152"/>
      <c r="M6" s="59">
        <f>$I$6/$M$5</f>
        <v>2.1109841965263652</v>
      </c>
      <c r="O6" s="155"/>
      <c r="P6" s="156"/>
      <c r="Q6" s="154"/>
    </row>
    <row r="7" spans="2:21" ht="15.75" thickBot="1" x14ac:dyDescent="0.3">
      <c r="B7" s="149"/>
    </row>
    <row r="8" spans="2:21" ht="15.75" thickBot="1" x14ac:dyDescent="0.3">
      <c r="B8" s="149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49"/>
      <c r="C9" s="26" t="s">
        <v>51</v>
      </c>
      <c r="D9" s="61">
        <f t="shared" ref="D9:S9" si="0">$Q$5*D10/100</f>
        <v>1.4392486739551844</v>
      </c>
      <c r="E9" s="83">
        <f t="shared" si="0"/>
        <v>1.4392486739551844</v>
      </c>
      <c r="F9" s="27">
        <f t="shared" si="0"/>
        <v>1.4439830445931952</v>
      </c>
      <c r="G9" s="27">
        <f t="shared" si="0"/>
        <v>1.4818580096972789</v>
      </c>
      <c r="H9" s="27">
        <f t="shared" si="0"/>
        <v>1.4581861565072265</v>
      </c>
      <c r="I9" s="27">
        <f t="shared" si="0"/>
        <v>1.2309363658827237</v>
      </c>
      <c r="J9" s="27">
        <f t="shared" si="0"/>
        <v>1.7517171360638761</v>
      </c>
      <c r="K9" s="27">
        <f t="shared" si="0"/>
        <v>2.5328882913356043</v>
      </c>
      <c r="L9" s="27">
        <f t="shared" si="0"/>
        <v>2.5897007389917301</v>
      </c>
      <c r="M9" s="27">
        <f t="shared" si="0"/>
        <v>2.2251541998649236</v>
      </c>
      <c r="N9" s="27">
        <f t="shared" si="0"/>
        <v>3.0015909844986415</v>
      </c>
      <c r="O9" s="27">
        <f t="shared" si="0"/>
        <v>3.0489346908787467</v>
      </c>
      <c r="P9" s="27">
        <f t="shared" si="0"/>
        <v>3.0299972083267046</v>
      </c>
      <c r="Q9" s="27">
        <f t="shared" si="0"/>
        <v>1.8274670662720436</v>
      </c>
      <c r="R9" s="27">
        <f t="shared" si="0"/>
        <v>2.2251541998649236</v>
      </c>
      <c r="S9" s="28">
        <f t="shared" si="0"/>
        <v>4.2846054273994802</v>
      </c>
    </row>
    <row r="10" spans="2:21" x14ac:dyDescent="0.25">
      <c r="B10" s="149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49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49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49"/>
      <c r="C13" s="29" t="s">
        <v>52</v>
      </c>
      <c r="D13" s="33">
        <f t="shared" ref="D13:S13" si="2">D9-D12</f>
        <v>1.1418886739551843</v>
      </c>
      <c r="E13" s="87">
        <f t="shared" si="2"/>
        <v>1.1171086739551845</v>
      </c>
      <c r="F13" s="34">
        <f t="shared" si="2"/>
        <v>1.1218430445931951</v>
      </c>
      <c r="G13" s="34">
        <f t="shared" si="2"/>
        <v>1.1597180096972788</v>
      </c>
      <c r="H13" s="34">
        <f t="shared" si="2"/>
        <v>1.1360461565072266</v>
      </c>
      <c r="I13" s="34">
        <f>I9-I12</f>
        <v>1.0574763658827238</v>
      </c>
      <c r="J13" s="34">
        <f t="shared" si="2"/>
        <v>1.5039171360638761</v>
      </c>
      <c r="K13" s="34">
        <f t="shared" si="2"/>
        <v>2.1364082913356044</v>
      </c>
      <c r="L13" s="34">
        <f t="shared" si="2"/>
        <v>2.2427807389917302</v>
      </c>
      <c r="M13" s="34">
        <f t="shared" si="2"/>
        <v>1.8038941998649236</v>
      </c>
      <c r="N13" s="34">
        <f t="shared" si="2"/>
        <v>2.5679409844986414</v>
      </c>
      <c r="O13" s="34">
        <f t="shared" si="2"/>
        <v>2.5781146908787469</v>
      </c>
      <c r="P13" s="34">
        <f t="shared" si="2"/>
        <v>2.4848372083267045</v>
      </c>
      <c r="Q13" s="34">
        <f t="shared" si="2"/>
        <v>1.2946970662720436</v>
      </c>
      <c r="R13" s="34">
        <f t="shared" si="2"/>
        <v>1.6799941998649235</v>
      </c>
      <c r="S13" s="35">
        <f t="shared" si="2"/>
        <v>3.7394454273994802</v>
      </c>
    </row>
    <row r="14" spans="2:21" ht="17.25" x14ac:dyDescent="0.25">
      <c r="B14" s="149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49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49"/>
      <c r="C16" s="15" t="s">
        <v>54</v>
      </c>
      <c r="D16" s="39">
        <f t="shared" ref="D16:S16" si="4">D14/D13</f>
        <v>437.8710564385749</v>
      </c>
      <c r="E16" s="90">
        <f t="shared" si="4"/>
        <v>447.58402799767242</v>
      </c>
      <c r="F16" s="40">
        <f t="shared" si="4"/>
        <v>445.69514640197372</v>
      </c>
      <c r="G16" s="40">
        <f t="shared" si="4"/>
        <v>431.13929060264832</v>
      </c>
      <c r="H16" s="40">
        <f t="shared" si="4"/>
        <v>440.12296255395972</v>
      </c>
      <c r="I16" s="40">
        <f t="shared" si="4"/>
        <v>472.82380593218005</v>
      </c>
      <c r="J16" s="40">
        <f t="shared" si="4"/>
        <v>432.20466368327385</v>
      </c>
      <c r="K16" s="40">
        <f t="shared" si="4"/>
        <v>421.26779026744595</v>
      </c>
      <c r="L16" s="40">
        <f t="shared" si="4"/>
        <v>423.58130845509413</v>
      </c>
      <c r="M16" s="40">
        <f t="shared" si="4"/>
        <v>443.4849893413396</v>
      </c>
      <c r="N16" s="40">
        <f t="shared" si="4"/>
        <v>506.24216360400857</v>
      </c>
      <c r="O16" s="40">
        <f t="shared" si="4"/>
        <v>659.39657611607549</v>
      </c>
      <c r="P16" s="40">
        <f t="shared" si="4"/>
        <v>643.90536113930932</v>
      </c>
      <c r="Q16" s="40">
        <f t="shared" si="4"/>
        <v>540.66701642847079</v>
      </c>
      <c r="R16" s="40">
        <f t="shared" si="4"/>
        <v>505.95412773945441</v>
      </c>
      <c r="S16" s="41">
        <f t="shared" si="4"/>
        <v>561.58059818522383</v>
      </c>
    </row>
    <row r="17" spans="2:19" ht="18" thickBot="1" x14ac:dyDescent="0.3">
      <c r="B17" s="150"/>
      <c r="C17" s="8" t="s">
        <v>40</v>
      </c>
      <c r="D17" s="36">
        <f>IFERROR(D13*365/D14,"N/A")</f>
        <v>0.83357873198728449</v>
      </c>
      <c r="E17" s="91">
        <f t="shared" ref="E17:S17" si="5">IFERROR(E13*365/E14,"N/A")</f>
        <v>0.81548933198728468</v>
      </c>
      <c r="F17" s="37">
        <f t="shared" si="5"/>
        <v>0.81894542255303238</v>
      </c>
      <c r="G17" s="37">
        <f t="shared" si="5"/>
        <v>0.84659414707901348</v>
      </c>
      <c r="H17" s="37">
        <f t="shared" si="5"/>
        <v>0.82931369425027546</v>
      </c>
      <c r="I17" s="37">
        <f t="shared" si="5"/>
        <v>0.77195774709438836</v>
      </c>
      <c r="J17" s="37">
        <f t="shared" si="5"/>
        <v>0.84450731486663799</v>
      </c>
      <c r="K17" s="37">
        <f t="shared" si="5"/>
        <v>0.86643225148610614</v>
      </c>
      <c r="L17" s="37">
        <f t="shared" si="5"/>
        <v>0.86169996813892791</v>
      </c>
      <c r="M17" s="37">
        <f t="shared" si="5"/>
        <v>0.82302672868837135</v>
      </c>
      <c r="N17" s="37">
        <f t="shared" si="5"/>
        <v>0.72099881487846473</v>
      </c>
      <c r="O17" s="37">
        <f t="shared" si="5"/>
        <v>0.55353638951220152</v>
      </c>
      <c r="P17" s="37">
        <f t="shared" si="5"/>
        <v>0.56685348814952941</v>
      </c>
      <c r="Q17" s="37">
        <f t="shared" si="5"/>
        <v>0.67509204169899417</v>
      </c>
      <c r="R17" s="37">
        <f t="shared" si="5"/>
        <v>0.7214092740596435</v>
      </c>
      <c r="S17" s="38">
        <f t="shared" si="5"/>
        <v>0.64995122904800495</v>
      </c>
    </row>
    <row r="18" spans="2:19" ht="15.75" thickBot="1" x14ac:dyDescent="0.3"/>
    <row r="19" spans="2:19" ht="15.75" thickBot="1" x14ac:dyDescent="0.3">
      <c r="B19" s="148" t="s">
        <v>18</v>
      </c>
      <c r="C19" s="108" t="s">
        <v>33</v>
      </c>
      <c r="D19" s="60">
        <f>1-2/$M$6</f>
        <v>5.2574622163913065E-2</v>
      </c>
      <c r="E19" s="92"/>
    </row>
    <row r="20" spans="2:19" ht="15.75" customHeight="1" thickBot="1" x14ac:dyDescent="0.3">
      <c r="B20" s="149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49"/>
      <c r="C21" s="42" t="s">
        <v>35</v>
      </c>
      <c r="D21" s="43">
        <f t="shared" ref="D21:S21" si="7">D$9*(1-$D$19)</f>
        <v>1.3635807187220776</v>
      </c>
      <c r="E21" s="93">
        <f t="shared" si="7"/>
        <v>1.3635807187220776</v>
      </c>
      <c r="F21" s="44">
        <f t="shared" si="7"/>
        <v>1.3680661816126112</v>
      </c>
      <c r="G21" s="44">
        <f t="shared" si="7"/>
        <v>1.4039498847368763</v>
      </c>
      <c r="H21" s="44">
        <f t="shared" si="7"/>
        <v>1.3815225702842104</v>
      </c>
      <c r="I21" s="44">
        <f t="shared" si="7"/>
        <v>1.1662203515386194</v>
      </c>
      <c r="J21" s="44">
        <f t="shared" si="7"/>
        <v>1.6596212694972658</v>
      </c>
      <c r="K21" s="44">
        <f t="shared" si="7"/>
        <v>2.3997226464352357</v>
      </c>
      <c r="L21" s="44">
        <f t="shared" si="7"/>
        <v>2.4535482011216336</v>
      </c>
      <c r="M21" s="44">
        <f t="shared" si="7"/>
        <v>2.1081675585505808</v>
      </c>
      <c r="N21" s="44">
        <f t="shared" si="7"/>
        <v>2.8437834725980178</v>
      </c>
      <c r="O21" s="44">
        <f t="shared" si="7"/>
        <v>2.8886381015033495</v>
      </c>
      <c r="P21" s="44">
        <f t="shared" si="7"/>
        <v>2.8706962499412167</v>
      </c>
      <c r="Q21" s="44">
        <f t="shared" si="7"/>
        <v>1.7313886757457961</v>
      </c>
      <c r="R21" s="44">
        <f t="shared" si="7"/>
        <v>2.1081675585505808</v>
      </c>
      <c r="S21" s="45">
        <f t="shared" si="7"/>
        <v>4.0593439159325015</v>
      </c>
    </row>
    <row r="22" spans="2:19" x14ac:dyDescent="0.25">
      <c r="B22" s="149"/>
      <c r="C22" s="22" t="s">
        <v>17</v>
      </c>
      <c r="D22" s="50">
        <f t="shared" ref="D22:S22" si="8">D21-D$12</f>
        <v>1.0662207187220778</v>
      </c>
      <c r="E22" s="94">
        <f t="shared" si="8"/>
        <v>1.0414407187220776</v>
      </c>
      <c r="F22" s="51">
        <f t="shared" si="8"/>
        <v>1.0459261816126113</v>
      </c>
      <c r="G22" s="51">
        <f t="shared" si="8"/>
        <v>1.0818098847368764</v>
      </c>
      <c r="H22" s="51">
        <f t="shared" si="8"/>
        <v>1.0593825702842103</v>
      </c>
      <c r="I22" s="51">
        <f t="shared" si="8"/>
        <v>0.99276035153861941</v>
      </c>
      <c r="J22" s="51">
        <f t="shared" si="8"/>
        <v>1.4118212694972658</v>
      </c>
      <c r="K22" s="51">
        <f t="shared" si="8"/>
        <v>2.0032426464352358</v>
      </c>
      <c r="L22" s="51">
        <f t="shared" si="8"/>
        <v>2.1066282011216337</v>
      </c>
      <c r="M22" s="51">
        <f t="shared" si="8"/>
        <v>1.6869075585505808</v>
      </c>
      <c r="N22" s="51">
        <f t="shared" si="8"/>
        <v>2.4101334725980177</v>
      </c>
      <c r="O22" s="51">
        <f t="shared" si="8"/>
        <v>2.4178181015033497</v>
      </c>
      <c r="P22" s="51">
        <f t="shared" si="8"/>
        <v>2.3255362499412167</v>
      </c>
      <c r="Q22" s="51">
        <f t="shared" si="8"/>
        <v>1.1986186757457962</v>
      </c>
      <c r="R22" s="51">
        <f t="shared" si="8"/>
        <v>1.5630075585505807</v>
      </c>
      <c r="S22" s="52">
        <f t="shared" si="8"/>
        <v>3.5141839159325015</v>
      </c>
    </row>
    <row r="23" spans="2:19" x14ac:dyDescent="0.25">
      <c r="B23" s="149"/>
      <c r="C23" s="46" t="s">
        <v>15</v>
      </c>
      <c r="D23" s="47">
        <f t="shared" ref="D23:S23" si="9">IF(D22&gt;0,D$14/D22,"N/A")</f>
        <v>468.94605518384276</v>
      </c>
      <c r="E23" s="95">
        <f t="shared" si="9"/>
        <v>480.10413940174709</v>
      </c>
      <c r="F23" s="48">
        <f t="shared" si="9"/>
        <v>478.04520891627254</v>
      </c>
      <c r="G23" s="48">
        <f t="shared" si="9"/>
        <v>462.18841873645169</v>
      </c>
      <c r="H23" s="48">
        <f t="shared" si="9"/>
        <v>471.97302846492971</v>
      </c>
      <c r="I23" s="48">
        <f t="shared" si="9"/>
        <v>503.64622159323761</v>
      </c>
      <c r="J23" s="48">
        <f t="shared" si="9"/>
        <v>460.39822040041793</v>
      </c>
      <c r="K23" s="48">
        <f t="shared" si="9"/>
        <v>449.27158554733609</v>
      </c>
      <c r="L23" s="48">
        <f t="shared" si="9"/>
        <v>450.95760110597149</v>
      </c>
      <c r="M23" s="48">
        <f t="shared" si="9"/>
        <v>474.2405687525482</v>
      </c>
      <c r="N23" s="48">
        <f t="shared" si="9"/>
        <v>539.38921424076045</v>
      </c>
      <c r="O23" s="48">
        <f t="shared" si="9"/>
        <v>703.11327346874225</v>
      </c>
      <c r="P23" s="48">
        <f t="shared" si="9"/>
        <v>688.01335607666567</v>
      </c>
      <c r="Q23" s="48">
        <f t="shared" si="9"/>
        <v>584.00558423174152</v>
      </c>
      <c r="R23" s="48">
        <f t="shared" si="9"/>
        <v>543.82334579893393</v>
      </c>
      <c r="S23" s="49">
        <f t="shared" si="9"/>
        <v>597.57828566657622</v>
      </c>
    </row>
    <row r="24" spans="2:19" ht="15.75" thickBot="1" x14ac:dyDescent="0.3">
      <c r="B24" s="150"/>
      <c r="C24" s="53" t="s">
        <v>16</v>
      </c>
      <c r="D24" s="54">
        <f>IFERROR(D22*365/D$14,"N/A")</f>
        <v>0.7783411246671168</v>
      </c>
      <c r="E24" s="96">
        <f t="shared" ref="E24:S24" si="10">IFERROR(E22*365/E$14,"N/A")</f>
        <v>0.76025172466711666</v>
      </c>
      <c r="F24" s="55">
        <f t="shared" si="10"/>
        <v>0.76352611257720626</v>
      </c>
      <c r="G24" s="55">
        <f t="shared" si="10"/>
        <v>0.78972121585791977</v>
      </c>
      <c r="H24" s="55">
        <f t="shared" si="10"/>
        <v>0.77334927630747363</v>
      </c>
      <c r="I24" s="55">
        <f t="shared" si="10"/>
        <v>0.72471505662319213</v>
      </c>
      <c r="J24" s="55">
        <f t="shared" si="10"/>
        <v>0.79279194364077232</v>
      </c>
      <c r="K24" s="55">
        <f t="shared" si="10"/>
        <v>0.81242618438762348</v>
      </c>
      <c r="L24" s="55">
        <f t="shared" si="10"/>
        <v>0.80938872990462774</v>
      </c>
      <c r="M24" s="55">
        <f t="shared" si="10"/>
        <v>0.76965157358870262</v>
      </c>
      <c r="N24" s="55">
        <f t="shared" si="10"/>
        <v>0.67669132115252029</v>
      </c>
      <c r="O24" s="55">
        <f t="shared" si="10"/>
        <v>0.5191197688521898</v>
      </c>
      <c r="P24" s="55">
        <f t="shared" si="10"/>
        <v>0.53051295701784007</v>
      </c>
      <c r="Q24" s="55">
        <f t="shared" si="10"/>
        <v>0.62499402378173652</v>
      </c>
      <c r="R24" s="55">
        <f t="shared" si="10"/>
        <v>0.67117383396583763</v>
      </c>
      <c r="S24" s="56">
        <f t="shared" si="10"/>
        <v>0.61079863300731574</v>
      </c>
    </row>
    <row r="25" spans="2:19" ht="15.75" thickBot="1" x14ac:dyDescent="0.3"/>
    <row r="26" spans="2:19" ht="15.75" thickBot="1" x14ac:dyDescent="0.3">
      <c r="B26" s="148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49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49"/>
      <c r="C28" s="42" t="s">
        <v>35</v>
      </c>
      <c r="D28" s="43">
        <f t="shared" ref="D28:S28" si="12">D$9*(1-$D$26)</f>
        <v>8.5023231272797442E-2</v>
      </c>
      <c r="E28" s="93">
        <f t="shared" si="12"/>
        <v>8.5023231272797442E-2</v>
      </c>
      <c r="F28" s="44">
        <f t="shared" si="12"/>
        <v>8.5302912954615881E-2</v>
      </c>
      <c r="G28" s="44">
        <f t="shared" si="12"/>
        <v>8.754036640916317E-2</v>
      </c>
      <c r="H28" s="44">
        <f t="shared" si="12"/>
        <v>8.6141958000071114E-2</v>
      </c>
      <c r="I28" s="44">
        <f t="shared" si="12"/>
        <v>7.2717237272787297E-2</v>
      </c>
      <c r="J28" s="44">
        <f t="shared" si="12"/>
        <v>0.1034822222728127</v>
      </c>
      <c r="K28" s="44">
        <f t="shared" si="12"/>
        <v>0.14962969977285079</v>
      </c>
      <c r="L28" s="44">
        <f t="shared" si="12"/>
        <v>0.15298587995467175</v>
      </c>
      <c r="M28" s="44">
        <f t="shared" si="12"/>
        <v>0.13145039045465398</v>
      </c>
      <c r="N28" s="44">
        <f t="shared" si="12"/>
        <v>0.17731818627287366</v>
      </c>
      <c r="O28" s="44">
        <f t="shared" si="12"/>
        <v>0.1801150030910578</v>
      </c>
      <c r="P28" s="44">
        <f t="shared" si="12"/>
        <v>0.17899627636378412</v>
      </c>
      <c r="Q28" s="44">
        <f t="shared" si="12"/>
        <v>0.10795712918190729</v>
      </c>
      <c r="R28" s="44">
        <f t="shared" si="12"/>
        <v>0.13145039045465398</v>
      </c>
      <c r="S28" s="45">
        <f t="shared" si="12"/>
        <v>0.25311192204566346</v>
      </c>
    </row>
    <row r="29" spans="2:19" x14ac:dyDescent="0.25">
      <c r="B29" s="149"/>
      <c r="C29" s="22" t="s">
        <v>17</v>
      </c>
      <c r="D29" s="50">
        <f t="shared" ref="D29:S29" si="13">D28-D$12</f>
        <v>-0.21233676872720253</v>
      </c>
      <c r="E29" s="94">
        <f t="shared" si="13"/>
        <v>-0.23711676872720255</v>
      </c>
      <c r="F29" s="51">
        <f t="shared" si="13"/>
        <v>-0.23683708704538409</v>
      </c>
      <c r="G29" s="51">
        <f t="shared" si="13"/>
        <v>-0.2345996335908368</v>
      </c>
      <c r="H29" s="51">
        <f t="shared" si="13"/>
        <v>-0.23599804199992885</v>
      </c>
      <c r="I29" s="51">
        <f t="shared" si="13"/>
        <v>-0.10074276272721268</v>
      </c>
      <c r="J29" s="51">
        <f t="shared" si="13"/>
        <v>-0.14431777772718726</v>
      </c>
      <c r="K29" s="51">
        <f t="shared" si="13"/>
        <v>-0.24685030022714916</v>
      </c>
      <c r="L29" s="51">
        <f t="shared" si="13"/>
        <v>-0.1939341200453282</v>
      </c>
      <c r="M29" s="51">
        <f t="shared" si="13"/>
        <v>-0.28980960954534596</v>
      </c>
      <c r="N29" s="51">
        <f t="shared" si="13"/>
        <v>-0.25633181372712638</v>
      </c>
      <c r="O29" s="51">
        <f t="shared" si="13"/>
        <v>-0.29070499690894214</v>
      </c>
      <c r="P29" s="51">
        <f t="shared" si="13"/>
        <v>-0.36616372363621585</v>
      </c>
      <c r="Q29" s="51">
        <f t="shared" si="13"/>
        <v>-0.42481287081809266</v>
      </c>
      <c r="R29" s="51">
        <f t="shared" si="13"/>
        <v>-0.41370960954534597</v>
      </c>
      <c r="S29" s="52">
        <f t="shared" si="13"/>
        <v>-0.29204807795433652</v>
      </c>
    </row>
    <row r="30" spans="2:19" x14ac:dyDescent="0.25">
      <c r="B30" s="149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50"/>
      <c r="C31" s="53" t="s">
        <v>16</v>
      </c>
      <c r="D31" s="54">
        <f>IFERROR(D29*365/D$14,"N/A")</f>
        <v>-0.15500584117085786</v>
      </c>
      <c r="E31" s="96">
        <f t="shared" ref="E31:S31" si="15">IFERROR(E29*365/E$14,"N/A")</f>
        <v>-0.17309524117085787</v>
      </c>
      <c r="F31" s="55">
        <f t="shared" si="15"/>
        <v>-0.17289107354313038</v>
      </c>
      <c r="G31" s="55">
        <f t="shared" si="15"/>
        <v>-0.17125773252131085</v>
      </c>
      <c r="H31" s="55">
        <f t="shared" si="15"/>
        <v>-0.17227857065994806</v>
      </c>
      <c r="I31" s="55">
        <f t="shared" si="15"/>
        <v>-7.3542216790865256E-2</v>
      </c>
      <c r="J31" s="55">
        <f t="shared" si="15"/>
        <v>-8.1039982877574385E-2</v>
      </c>
      <c r="K31" s="55">
        <f t="shared" si="15"/>
        <v>-0.10011151064767716</v>
      </c>
      <c r="L31" s="55">
        <f t="shared" si="15"/>
        <v>-7.4511530333205039E-2</v>
      </c>
      <c r="M31" s="55">
        <f t="shared" si="15"/>
        <v>-0.1322256343550641</v>
      </c>
      <c r="N31" s="55">
        <f t="shared" si="15"/>
        <v>-7.1970086161847024E-2</v>
      </c>
      <c r="O31" s="55">
        <f t="shared" si="15"/>
        <v>-6.2416072865743459E-2</v>
      </c>
      <c r="P31" s="55">
        <f t="shared" si="15"/>
        <v>-8.3531099454511745E-2</v>
      </c>
      <c r="Q31" s="55">
        <f t="shared" si="15"/>
        <v>-0.22150956835514832</v>
      </c>
      <c r="R31" s="55">
        <f t="shared" si="15"/>
        <v>-0.17765177351064856</v>
      </c>
      <c r="S31" s="56">
        <f t="shared" si="15"/>
        <v>-5.0760737358729921E-2</v>
      </c>
    </row>
    <row r="32" spans="2:19" ht="15.75" thickBot="1" x14ac:dyDescent="0.3"/>
    <row r="33" spans="2:19" ht="15.75" thickBot="1" x14ac:dyDescent="0.3">
      <c r="B33" s="148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49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49"/>
      <c r="C35" s="42" t="s">
        <v>35</v>
      </c>
      <c r="D35" s="43">
        <f t="shared" ref="D35:S35" si="17">D$9*(1-$D$33)</f>
        <v>0.49682249599164729</v>
      </c>
      <c r="E35" s="93">
        <f t="shared" si="17"/>
        <v>0.49682249599164729</v>
      </c>
      <c r="F35" s="44">
        <f t="shared" si="17"/>
        <v>0.49845678051793568</v>
      </c>
      <c r="G35" s="44">
        <f t="shared" si="17"/>
        <v>0.51153105672824217</v>
      </c>
      <c r="H35" s="44">
        <f t="shared" si="17"/>
        <v>0.50335963409680062</v>
      </c>
      <c r="I35" s="44">
        <f t="shared" si="17"/>
        <v>0.42491397683496157</v>
      </c>
      <c r="J35" s="44">
        <f t="shared" si="17"/>
        <v>0.6046852747266761</v>
      </c>
      <c r="K35" s="44">
        <f t="shared" si="17"/>
        <v>0.87434222156424779</v>
      </c>
      <c r="L35" s="44">
        <f t="shared" si="17"/>
        <v>0.89395363587970755</v>
      </c>
      <c r="M35" s="44">
        <f t="shared" si="17"/>
        <v>0.76811372735550743</v>
      </c>
      <c r="N35" s="44">
        <f t="shared" si="17"/>
        <v>1.0361363896667908</v>
      </c>
      <c r="O35" s="44">
        <f t="shared" si="17"/>
        <v>1.0524792349296741</v>
      </c>
      <c r="P35" s="44">
        <f t="shared" si="17"/>
        <v>1.0459420968245208</v>
      </c>
      <c r="Q35" s="44">
        <f t="shared" si="17"/>
        <v>0.63083382714728908</v>
      </c>
      <c r="R35" s="44">
        <f t="shared" si="17"/>
        <v>0.76811372735550743</v>
      </c>
      <c r="S35" s="45">
        <f t="shared" si="17"/>
        <v>1.4790274962909238</v>
      </c>
    </row>
    <row r="36" spans="2:19" x14ac:dyDescent="0.25">
      <c r="B36" s="149"/>
      <c r="C36" s="22" t="s">
        <v>17</v>
      </c>
      <c r="D36" s="50">
        <f>D35-D$12</f>
        <v>0.19946249599164734</v>
      </c>
      <c r="E36" s="94">
        <f>E35-E$12</f>
        <v>0.17468249599164731</v>
      </c>
      <c r="F36" s="51">
        <f>F35-F$12</f>
        <v>0.1763167805179357</v>
      </c>
      <c r="G36" s="51">
        <f t="shared" ref="G36:R36" si="18">G35-G$12</f>
        <v>0.18939105672824219</v>
      </c>
      <c r="H36" s="51">
        <f t="shared" si="18"/>
        <v>0.18121963409680064</v>
      </c>
      <c r="I36" s="51">
        <f t="shared" si="18"/>
        <v>0.25145397683496162</v>
      </c>
      <c r="J36" s="51">
        <f t="shared" si="18"/>
        <v>0.35688527472667614</v>
      </c>
      <c r="K36" s="51">
        <f t="shared" si="18"/>
        <v>0.47786222156424785</v>
      </c>
      <c r="L36" s="51">
        <f t="shared" si="18"/>
        <v>0.54703363587970766</v>
      </c>
      <c r="M36" s="51">
        <f t="shared" si="18"/>
        <v>0.34685372735550746</v>
      </c>
      <c r="N36" s="51">
        <f t="shared" si="18"/>
        <v>0.60248638966679069</v>
      </c>
      <c r="O36" s="51">
        <f t="shared" si="18"/>
        <v>0.58165923492967408</v>
      </c>
      <c r="P36" s="51">
        <f t="shared" si="18"/>
        <v>0.50078209682452079</v>
      </c>
      <c r="Q36" s="51">
        <f t="shared" si="18"/>
        <v>9.8063827147289118E-2</v>
      </c>
      <c r="R36" s="51">
        <f t="shared" si="18"/>
        <v>0.22295372735550745</v>
      </c>
      <c r="S36" s="52">
        <f>S35-S$12</f>
        <v>0.9338674962909238</v>
      </c>
    </row>
    <row r="37" spans="2:19" x14ac:dyDescent="0.25">
      <c r="B37" s="149"/>
      <c r="C37" s="46" t="s">
        <v>15</v>
      </c>
      <c r="D37" s="47">
        <f>IF(D36&gt;0,D$14/D36,"N/A")</f>
        <v>2506.7369056734251</v>
      </c>
      <c r="E37" s="95">
        <f>IF(E36&gt;0,E$14/E36,"N/A")</f>
        <v>2862.3360180513346</v>
      </c>
      <c r="F37" s="48">
        <f>IF(F36&gt;0,F$14/F36,"N/A")</f>
        <v>2835.8049558937919</v>
      </c>
      <c r="G37" s="48">
        <f t="shared" ref="G37:R37" si="19">IF(G36&gt;0,G$14/G36,"N/A")</f>
        <v>2640.0401826652856</v>
      </c>
      <c r="H37" s="48">
        <f t="shared" si="19"/>
        <v>2759.0829354225439</v>
      </c>
      <c r="I37" s="48">
        <f t="shared" si="19"/>
        <v>1988.435443708127</v>
      </c>
      <c r="J37" s="48">
        <f t="shared" si="19"/>
        <v>1821.3135873924987</v>
      </c>
      <c r="K37" s="48">
        <f t="shared" si="19"/>
        <v>1883.3880549374969</v>
      </c>
      <c r="L37" s="48">
        <f t="shared" si="19"/>
        <v>1736.6390980186534</v>
      </c>
      <c r="M37" s="48">
        <f t="shared" si="19"/>
        <v>2306.4477527728586</v>
      </c>
      <c r="N37" s="48">
        <f t="shared" si="19"/>
        <v>2157.7250910497314</v>
      </c>
      <c r="O37" s="48">
        <f t="shared" si="19"/>
        <v>2922.673445055058</v>
      </c>
      <c r="P37" s="48">
        <f t="shared" si="19"/>
        <v>3195.0023975410936</v>
      </c>
      <c r="Q37" s="48">
        <f t="shared" si="19"/>
        <v>7138.2080463637185</v>
      </c>
      <c r="R37" s="48">
        <f t="shared" si="19"/>
        <v>3812.4502787282204</v>
      </c>
      <c r="S37" s="49">
        <f>IF(S36&gt;0,S$14/S36,"N/A")</f>
        <v>2248.713022287046</v>
      </c>
    </row>
    <row r="38" spans="2:19" ht="15.75" thickBot="1" x14ac:dyDescent="0.3">
      <c r="B38" s="150"/>
      <c r="C38" s="53" t="s">
        <v>16</v>
      </c>
      <c r="D38" s="12">
        <f>IFERROR(D36*365/D$14,"N/A")</f>
        <v>0.14560762207390254</v>
      </c>
      <c r="E38" s="97">
        <f t="shared" ref="E38:S38" si="20">IFERROR(E36*365/E$14,"N/A")</f>
        <v>0.12751822207390254</v>
      </c>
      <c r="F38" s="13">
        <f t="shared" si="20"/>
        <v>0.12871124977809306</v>
      </c>
      <c r="G38" s="13">
        <f t="shared" si="20"/>
        <v>0.13825547141161681</v>
      </c>
      <c r="H38" s="13">
        <f t="shared" si="20"/>
        <v>0.13229033289066447</v>
      </c>
      <c r="I38" s="13">
        <f t="shared" si="20"/>
        <v>0.18356140308952199</v>
      </c>
      <c r="J38" s="13">
        <f t="shared" si="20"/>
        <v>0.20040480811574893</v>
      </c>
      <c r="K38" s="13">
        <f t="shared" si="20"/>
        <v>0.19379967874550053</v>
      </c>
      <c r="L38" s="13">
        <f t="shared" si="20"/>
        <v>0.21017608115378242</v>
      </c>
      <c r="M38" s="13">
        <f t="shared" si="20"/>
        <v>0.15825201310595027</v>
      </c>
      <c r="N38" s="13">
        <f t="shared" si="20"/>
        <v>0.16915964017567586</v>
      </c>
      <c r="O38" s="13">
        <f t="shared" si="20"/>
        <v>0.12488565926431237</v>
      </c>
      <c r="P38" s="13">
        <f t="shared" si="20"/>
        <v>0.1142409158380938</v>
      </c>
      <c r="Q38" s="13">
        <f t="shared" si="20"/>
        <v>5.1133281298229319E-2</v>
      </c>
      <c r="R38" s="13">
        <f t="shared" si="20"/>
        <v>9.5738953511482608E-2</v>
      </c>
      <c r="S38" s="14">
        <f t="shared" si="20"/>
        <v>0.16231506483151772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53"/>
  <sheetViews>
    <sheetView showGridLines="0" workbookViewId="0">
      <selection activeCell="F27" sqref="F27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8" width="4.5703125" style="6" customWidth="1"/>
    <col min="9" max="24" width="9.140625" hidden="1" customWidth="1"/>
    <col min="25" max="16384" width="9.140625" style="6" hidden="1"/>
  </cols>
  <sheetData>
    <row r="1" spans="2:7" x14ac:dyDescent="0.25"/>
    <row r="2" spans="2:7" ht="21.75" thickBot="1" x14ac:dyDescent="0.3">
      <c r="B2" s="136" t="s">
        <v>79</v>
      </c>
      <c r="C2" s="136"/>
      <c r="D2" s="136"/>
      <c r="F2" s="137" t="s">
        <v>80</v>
      </c>
      <c r="G2" s="136"/>
    </row>
    <row r="3" spans="2:7" ht="16.5" thickBot="1" x14ac:dyDescent="0.3">
      <c r="B3" s="109" t="s">
        <v>21</v>
      </c>
      <c r="C3" s="109" t="s">
        <v>81</v>
      </c>
      <c r="D3" s="109" t="s">
        <v>82</v>
      </c>
      <c r="F3" s="131" t="s">
        <v>21</v>
      </c>
      <c r="G3" s="127" t="s">
        <v>83</v>
      </c>
    </row>
    <row r="4" spans="2:7" x14ac:dyDescent="0.25">
      <c r="B4" s="132">
        <v>43926</v>
      </c>
      <c r="C4" s="110" t="s">
        <v>84</v>
      </c>
      <c r="D4" s="128">
        <v>150.97</v>
      </c>
      <c r="F4" s="132">
        <v>44290</v>
      </c>
      <c r="G4" s="128">
        <v>215.24</v>
      </c>
    </row>
    <row r="5" spans="2:7" x14ac:dyDescent="0.25">
      <c r="B5" s="133">
        <v>44262</v>
      </c>
      <c r="C5" s="111" t="s">
        <v>85</v>
      </c>
      <c r="D5" s="129">
        <v>19.86</v>
      </c>
      <c r="F5" s="133">
        <v>44310</v>
      </c>
      <c r="G5" s="129">
        <v>246.25</v>
      </c>
    </row>
    <row r="6" spans="2:7" x14ac:dyDescent="0.25">
      <c r="B6" s="133">
        <v>44263</v>
      </c>
      <c r="C6" s="111" t="s">
        <v>86</v>
      </c>
      <c r="D6" s="129">
        <v>18.11</v>
      </c>
      <c r="F6" s="133">
        <v>44318</v>
      </c>
      <c r="G6" s="129">
        <v>788.93</v>
      </c>
    </row>
    <row r="7" spans="2:7" x14ac:dyDescent="0.25">
      <c r="B7" s="133">
        <v>44264</v>
      </c>
      <c r="C7" s="111" t="s">
        <v>87</v>
      </c>
      <c r="D7" s="129">
        <v>7.99</v>
      </c>
      <c r="F7" s="133">
        <v>44328</v>
      </c>
      <c r="G7" s="129">
        <v>297</v>
      </c>
    </row>
    <row r="8" spans="2:7" x14ac:dyDescent="0.25">
      <c r="B8" s="133">
        <v>44271</v>
      </c>
      <c r="C8" s="111" t="s">
        <v>88</v>
      </c>
      <c r="D8" s="129">
        <v>16.89</v>
      </c>
      <c r="F8" s="133">
        <v>44328</v>
      </c>
      <c r="G8" s="129">
        <v>742.5</v>
      </c>
    </row>
    <row r="9" spans="2:7" x14ac:dyDescent="0.25">
      <c r="B9" s="133">
        <v>44271</v>
      </c>
      <c r="C9" s="111" t="s">
        <v>89</v>
      </c>
      <c r="D9" s="129">
        <v>60.07</v>
      </c>
      <c r="F9" s="133">
        <v>44333</v>
      </c>
      <c r="G9" s="129">
        <v>367.54</v>
      </c>
    </row>
    <row r="10" spans="2:7" x14ac:dyDescent="0.25">
      <c r="B10" s="133">
        <v>44272</v>
      </c>
      <c r="C10" s="111" t="s">
        <v>90</v>
      </c>
      <c r="D10" s="129">
        <v>889.1</v>
      </c>
      <c r="F10" s="133">
        <v>44339</v>
      </c>
      <c r="G10" s="129">
        <v>290.45</v>
      </c>
    </row>
    <row r="11" spans="2:7" x14ac:dyDescent="0.25">
      <c r="B11" s="133">
        <v>44275</v>
      </c>
      <c r="C11" s="111" t="s">
        <v>87</v>
      </c>
      <c r="D11" s="129">
        <v>15.98</v>
      </c>
      <c r="F11" s="133">
        <v>44358</v>
      </c>
      <c r="G11" s="129">
        <v>305.98</v>
      </c>
    </row>
    <row r="12" spans="2:7" x14ac:dyDescent="0.25">
      <c r="B12" s="133">
        <v>44324</v>
      </c>
      <c r="C12" s="111" t="s">
        <v>91</v>
      </c>
      <c r="D12" s="129">
        <v>50</v>
      </c>
      <c r="F12" s="133">
        <v>44371</v>
      </c>
      <c r="G12" s="129">
        <v>726.08</v>
      </c>
    </row>
    <row r="13" spans="2:7" x14ac:dyDescent="0.25">
      <c r="B13" s="133">
        <v>44320</v>
      </c>
      <c r="C13" s="111" t="s">
        <v>92</v>
      </c>
      <c r="D13" s="129">
        <v>1034.99</v>
      </c>
      <c r="F13" s="133">
        <v>44381</v>
      </c>
      <c r="G13" s="129">
        <v>305.35000000000002</v>
      </c>
    </row>
    <row r="14" spans="2:7" x14ac:dyDescent="0.25">
      <c r="B14" s="133">
        <v>44320</v>
      </c>
      <c r="C14" s="111" t="s">
        <v>93</v>
      </c>
      <c r="D14" s="129">
        <v>927.88</v>
      </c>
      <c r="F14" s="133">
        <v>44405</v>
      </c>
      <c r="G14" s="129">
        <v>352.14</v>
      </c>
    </row>
    <row r="15" spans="2:7" x14ac:dyDescent="0.25">
      <c r="B15" s="133">
        <v>44332</v>
      </c>
      <c r="C15" s="111" t="s">
        <v>94</v>
      </c>
      <c r="D15" s="129">
        <v>80</v>
      </c>
      <c r="F15" s="133">
        <v>44413</v>
      </c>
      <c r="G15" s="129">
        <v>297</v>
      </c>
    </row>
    <row r="16" spans="2:7" x14ac:dyDescent="0.25">
      <c r="B16" s="133">
        <v>44349</v>
      </c>
      <c r="C16" s="112" t="s">
        <v>95</v>
      </c>
      <c r="D16" s="129">
        <v>56.49</v>
      </c>
      <c r="F16" s="133">
        <v>44418</v>
      </c>
      <c r="G16" s="129">
        <v>311.55</v>
      </c>
    </row>
    <row r="17" spans="2:24" x14ac:dyDescent="0.25">
      <c r="B17" s="133">
        <v>44367</v>
      </c>
      <c r="C17" s="112" t="s">
        <v>96</v>
      </c>
      <c r="D17" s="129">
        <v>50</v>
      </c>
      <c r="F17" s="133">
        <v>44429</v>
      </c>
      <c r="G17" s="129">
        <v>308.89</v>
      </c>
    </row>
    <row r="18" spans="2:24" x14ac:dyDescent="0.25">
      <c r="B18" s="133">
        <v>44362</v>
      </c>
      <c r="C18" s="112" t="s">
        <v>97</v>
      </c>
      <c r="D18" s="129">
        <v>2.48</v>
      </c>
      <c r="F18" s="133">
        <v>44446</v>
      </c>
      <c r="G18" s="129">
        <v>353.19</v>
      </c>
    </row>
    <row r="19" spans="2:24" x14ac:dyDescent="0.25">
      <c r="B19" s="133">
        <v>44366</v>
      </c>
      <c r="C19" s="112" t="s">
        <v>98</v>
      </c>
      <c r="D19" s="129">
        <v>1850</v>
      </c>
      <c r="F19" s="133">
        <v>44454</v>
      </c>
      <c r="G19" s="129">
        <v>297.85000000000002</v>
      </c>
    </row>
    <row r="20" spans="2:24" x14ac:dyDescent="0.25">
      <c r="B20" s="133">
        <v>44368</v>
      </c>
      <c r="C20" s="112" t="s">
        <v>99</v>
      </c>
      <c r="D20" s="129">
        <v>20.95</v>
      </c>
      <c r="F20" s="133">
        <v>44466</v>
      </c>
      <c r="G20" s="129">
        <v>320.64</v>
      </c>
    </row>
    <row r="21" spans="2:24" x14ac:dyDescent="0.25">
      <c r="B21" s="133">
        <v>44368</v>
      </c>
      <c r="C21" s="112" t="s">
        <v>100</v>
      </c>
      <c r="D21" s="129">
        <v>22.95</v>
      </c>
      <c r="F21" s="133">
        <v>44477</v>
      </c>
      <c r="G21" s="129">
        <v>334.07</v>
      </c>
    </row>
    <row r="22" spans="2:24" x14ac:dyDescent="0.25">
      <c r="B22" s="133">
        <v>44368</v>
      </c>
      <c r="C22" s="112" t="s">
        <v>101</v>
      </c>
      <c r="D22" s="129">
        <v>20.25</v>
      </c>
      <c r="F22" s="133">
        <v>44487</v>
      </c>
      <c r="G22" s="129">
        <v>299.7</v>
      </c>
    </row>
    <row r="23" spans="2:24" x14ac:dyDescent="0.25">
      <c r="B23" s="133">
        <v>44372</v>
      </c>
      <c r="C23" s="111" t="s">
        <v>87</v>
      </c>
      <c r="D23" s="129">
        <v>9.99</v>
      </c>
      <c r="F23" s="133">
        <v>44497</v>
      </c>
      <c r="G23" s="129">
        <v>336.47</v>
      </c>
    </row>
    <row r="24" spans="2:24" x14ac:dyDescent="0.25">
      <c r="B24" s="133">
        <v>44392</v>
      </c>
      <c r="C24" s="111" t="s">
        <v>108</v>
      </c>
      <c r="D24" s="129">
        <v>50</v>
      </c>
      <c r="E24"/>
      <c r="F24" s="133">
        <v>44604</v>
      </c>
      <c r="G24" s="129">
        <v>297</v>
      </c>
    </row>
    <row r="25" spans="2:24" x14ac:dyDescent="0.25">
      <c r="B25" s="133">
        <v>44423</v>
      </c>
      <c r="C25" s="111" t="s">
        <v>107</v>
      </c>
      <c r="D25" s="129">
        <v>50</v>
      </c>
      <c r="E25"/>
      <c r="F25" s="130" t="s">
        <v>119</v>
      </c>
      <c r="G25" s="139">
        <f>SUBTOTAL(109,ProfitTable[Amount])</f>
        <v>7793.8200000000006</v>
      </c>
    </row>
    <row r="26" spans="2:24" x14ac:dyDescent="0.25">
      <c r="B26" s="133">
        <v>44433</v>
      </c>
      <c r="C26" s="111" t="s">
        <v>114</v>
      </c>
      <c r="D26" s="129">
        <v>553.92999999999995</v>
      </c>
      <c r="E26"/>
      <c r="F26"/>
      <c r="G2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2:24" x14ac:dyDescent="0.25">
      <c r="B27" s="133">
        <v>44433</v>
      </c>
      <c r="C27" s="111" t="s">
        <v>115</v>
      </c>
      <c r="D27" s="129">
        <v>98.27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25">
      <c r="B28" s="133">
        <v>44434</v>
      </c>
      <c r="C28" s="111" t="s">
        <v>116</v>
      </c>
      <c r="D28" s="129">
        <v>950</v>
      </c>
      <c r="E28"/>
      <c r="F28"/>
      <c r="G28"/>
    </row>
    <row r="29" spans="2:24" x14ac:dyDescent="0.25">
      <c r="B29" s="133">
        <v>44438</v>
      </c>
      <c r="C29" s="111" t="s">
        <v>117</v>
      </c>
      <c r="D29" s="129">
        <v>25.93</v>
      </c>
      <c r="E29"/>
      <c r="F29"/>
      <c r="G2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2:24" x14ac:dyDescent="0.25">
      <c r="B30" s="133">
        <v>44443</v>
      </c>
      <c r="C30" s="111" t="s">
        <v>117</v>
      </c>
      <c r="D30" s="129">
        <v>40.67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25">
      <c r="B31" s="133">
        <v>44454</v>
      </c>
      <c r="C31" s="111" t="s">
        <v>118</v>
      </c>
      <c r="D31" s="129">
        <v>95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25">
      <c r="B32" s="133">
        <v>44483</v>
      </c>
      <c r="C32" s="111" t="s">
        <v>120</v>
      </c>
      <c r="D32" s="129">
        <v>39.119999999999997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7" x14ac:dyDescent="0.25">
      <c r="B33" s="133">
        <v>44484</v>
      </c>
      <c r="C33" s="111" t="s">
        <v>121</v>
      </c>
      <c r="D33" s="129">
        <v>95</v>
      </c>
      <c r="E33"/>
      <c r="F33"/>
      <c r="G33"/>
    </row>
    <row r="34" spans="2:7" x14ac:dyDescent="0.25">
      <c r="B34" s="133">
        <v>44545</v>
      </c>
      <c r="C34" s="111" t="s">
        <v>122</v>
      </c>
      <c r="D34" s="129">
        <v>95</v>
      </c>
      <c r="E34"/>
      <c r="F34"/>
    </row>
    <row r="35" spans="2:7" x14ac:dyDescent="0.25">
      <c r="B35" s="133">
        <v>44545</v>
      </c>
      <c r="C35" s="111" t="s">
        <v>123</v>
      </c>
      <c r="D35" s="129">
        <v>95</v>
      </c>
      <c r="E35"/>
      <c r="F35"/>
    </row>
    <row r="36" spans="2:7" x14ac:dyDescent="0.25">
      <c r="B36" s="133">
        <v>44577</v>
      </c>
      <c r="C36" s="111" t="s">
        <v>125</v>
      </c>
      <c r="D36" s="129">
        <v>95</v>
      </c>
      <c r="E36"/>
      <c r="F36"/>
    </row>
    <row r="37" spans="2:7" x14ac:dyDescent="0.25">
      <c r="B37" s="133">
        <v>44624</v>
      </c>
      <c r="C37" s="111" t="s">
        <v>126</v>
      </c>
      <c r="D37" s="129">
        <v>95</v>
      </c>
      <c r="E37"/>
      <c r="F37"/>
    </row>
    <row r="38" spans="2:7" x14ac:dyDescent="0.25">
      <c r="B38" s="133">
        <v>44636</v>
      </c>
      <c r="C38" s="111" t="s">
        <v>127</v>
      </c>
      <c r="D38" s="129">
        <v>95</v>
      </c>
      <c r="E38"/>
    </row>
    <row r="39" spans="2:7" x14ac:dyDescent="0.25">
      <c r="B39" s="130" t="s">
        <v>119</v>
      </c>
      <c r="C39" s="111"/>
      <c r="D39" s="139">
        <f>SUBTOTAL(109,ExpenseTable[Cost])</f>
        <v>7777.87</v>
      </c>
    </row>
    <row r="40" spans="2:7" x14ac:dyDescent="0.25">
      <c r="B40"/>
      <c r="C40" t="s">
        <v>124</v>
      </c>
      <c r="D40" s="138">
        <f>ProfitTable[[#Totals],[Amount]]-ExpenseTable[[#Totals],[Cost]]</f>
        <v>15.950000000000728</v>
      </c>
    </row>
    <row r="41" spans="2:7" x14ac:dyDescent="0.25">
      <c r="B41"/>
      <c r="C41"/>
      <c r="D41"/>
    </row>
    <row r="42" spans="2:7" x14ac:dyDescent="0.25">
      <c r="B42"/>
      <c r="C42"/>
      <c r="D42"/>
    </row>
    <row r="43" spans="2:7" x14ac:dyDescent="0.25"/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2022-03-17T01:09:42Z</dcterms:modified>
</cp:coreProperties>
</file>