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41E5E09F-2B0F-49D2-A04A-206F6D028708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History'!$A$1:$F$2094</definedName>
    <definedName name="Bear">'ETH Price History'!$C$886:$C$1226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3" l="1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D5" i="3"/>
  <c r="L6" i="3"/>
  <c r="Q9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F15" i="3"/>
  <c r="N15" i="3"/>
  <c r="C22" i="3"/>
  <c r="C15" i="3"/>
  <c r="C38" i="3"/>
  <c r="C30" i="3"/>
  <c r="J6" i="5"/>
  <c r="I2" i="5"/>
  <c r="I3" i="5"/>
  <c r="Q15" i="3"/>
  <c r="P15" i="3"/>
  <c r="O15" i="3"/>
  <c r="M15" i="3"/>
  <c r="L15" i="3"/>
  <c r="K15" i="3"/>
  <c r="J15" i="3"/>
  <c r="I15" i="3"/>
  <c r="H15" i="3"/>
  <c r="G15" i="3"/>
  <c r="E15" i="3"/>
  <c r="D15" i="3"/>
  <c r="F5" i="1"/>
  <c r="E5" i="1"/>
  <c r="E4" i="1"/>
  <c r="F4" i="1" s="1"/>
  <c r="E3" i="1"/>
  <c r="F3" i="1" s="1"/>
  <c r="F9" i="3" l="1"/>
  <c r="G9" i="3"/>
  <c r="H9" i="3"/>
  <c r="I9" i="3"/>
  <c r="J9" i="3"/>
  <c r="K9" i="3"/>
  <c r="K40" i="3" s="1"/>
  <c r="L9" i="3"/>
  <c r="M9" i="3"/>
  <c r="M24" i="3" s="1"/>
  <c r="N9" i="3"/>
  <c r="N40" i="3" s="1"/>
  <c r="C9" i="3"/>
  <c r="C24" i="3" s="1"/>
  <c r="O9" i="3"/>
  <c r="O24" i="3" s="1"/>
  <c r="D9" i="3"/>
  <c r="D24" i="3" s="1"/>
  <c r="P9" i="3"/>
  <c r="P24" i="3" s="1"/>
  <c r="E9" i="3"/>
  <c r="E24" i="3" s="1"/>
  <c r="F13" i="3"/>
  <c r="Q24" i="3"/>
  <c r="I24" i="3"/>
  <c r="G32" i="3"/>
  <c r="L24" i="3"/>
  <c r="H40" i="3"/>
  <c r="J32" i="3"/>
  <c r="Q32" i="3"/>
  <c r="Q40" i="3"/>
  <c r="F6" i="1"/>
  <c r="I32" i="3" l="1"/>
  <c r="F24" i="3"/>
  <c r="F25" i="3" s="1"/>
  <c r="K24" i="3"/>
  <c r="M32" i="3"/>
  <c r="K32" i="3"/>
  <c r="F17" i="3"/>
  <c r="F16" i="3"/>
  <c r="F40" i="3"/>
  <c r="F41" i="3" s="1"/>
  <c r="F32" i="3"/>
  <c r="F33" i="3" s="1"/>
  <c r="H32" i="3"/>
  <c r="M40" i="3"/>
  <c r="D32" i="3"/>
  <c r="Q25" i="3"/>
  <c r="Q27" i="3" s="1"/>
  <c r="D40" i="3"/>
  <c r="O40" i="3"/>
  <c r="C32" i="3"/>
  <c r="C40" i="3"/>
  <c r="P32" i="3"/>
  <c r="O32" i="3"/>
  <c r="N32" i="3"/>
  <c r="G24" i="3"/>
  <c r="N24" i="3"/>
  <c r="P40" i="3"/>
  <c r="I40" i="3"/>
  <c r="L32" i="3"/>
  <c r="J40" i="3"/>
  <c r="E40" i="3"/>
  <c r="L40" i="3"/>
  <c r="J24" i="3"/>
  <c r="H24" i="3"/>
  <c r="E32" i="3"/>
  <c r="G40" i="3"/>
  <c r="M33" i="3"/>
  <c r="M34" i="3" s="1"/>
  <c r="Q41" i="3"/>
  <c r="Q33" i="3"/>
  <c r="L25" i="3"/>
  <c r="L26" i="3" s="1"/>
  <c r="I13" i="3"/>
  <c r="I17" i="3" s="1"/>
  <c r="G13" i="3"/>
  <c r="J13" i="3"/>
  <c r="J17" i="3" s="1"/>
  <c r="E25" i="3"/>
  <c r="E26" i="3" s="1"/>
  <c r="K13" i="3"/>
  <c r="K17" i="3" s="1"/>
  <c r="H41" i="3"/>
  <c r="H43" i="3" s="1"/>
  <c r="Q13" i="3"/>
  <c r="F27" i="3" l="1"/>
  <c r="F26" i="3"/>
  <c r="D33" i="3"/>
  <c r="D35" i="3" s="1"/>
  <c r="F35" i="3"/>
  <c r="F34" i="3"/>
  <c r="C33" i="3"/>
  <c r="C35" i="3" s="1"/>
  <c r="F43" i="3"/>
  <c r="F42" i="3"/>
  <c r="O33" i="3"/>
  <c r="O35" i="3" s="1"/>
  <c r="Q26" i="3"/>
  <c r="P33" i="3"/>
  <c r="P34" i="3" s="1"/>
  <c r="L41" i="3"/>
  <c r="L43" i="3" s="1"/>
  <c r="P41" i="3"/>
  <c r="P43" i="3" s="1"/>
  <c r="N25" i="3"/>
  <c r="N26" i="3" s="1"/>
  <c r="P25" i="3"/>
  <c r="P26" i="3" s="1"/>
  <c r="G16" i="3"/>
  <c r="P13" i="3"/>
  <c r="P17" i="3" s="1"/>
  <c r="O41" i="3"/>
  <c r="O42" i="3" s="1"/>
  <c r="H25" i="3"/>
  <c r="H26" i="3" s="1"/>
  <c r="O25" i="3"/>
  <c r="O26" i="3" s="1"/>
  <c r="M35" i="3"/>
  <c r="M41" i="3"/>
  <c r="M42" i="3" s="1"/>
  <c r="O13" i="3"/>
  <c r="O17" i="3" s="1"/>
  <c r="L27" i="3"/>
  <c r="M25" i="3"/>
  <c r="M26" i="3" s="1"/>
  <c r="M13" i="3"/>
  <c r="M17" i="3" s="1"/>
  <c r="I16" i="3"/>
  <c r="I25" i="3"/>
  <c r="I26" i="3" s="1"/>
  <c r="H33" i="3"/>
  <c r="H35" i="3" s="1"/>
  <c r="L33" i="3"/>
  <c r="L35" i="3" s="1"/>
  <c r="Q35" i="3"/>
  <c r="Q34" i="3"/>
  <c r="N41" i="3"/>
  <c r="N43" i="3" s="1"/>
  <c r="G33" i="3"/>
  <c r="G35" i="3" s="1"/>
  <c r="H13" i="3"/>
  <c r="H16" i="3" s="1"/>
  <c r="L13" i="3"/>
  <c r="L16" i="3" s="1"/>
  <c r="Q42" i="3"/>
  <c r="Q43" i="3"/>
  <c r="I33" i="3"/>
  <c r="I35" i="3" s="1"/>
  <c r="J16" i="3"/>
  <c r="G41" i="3"/>
  <c r="G43" i="3" s="1"/>
  <c r="E33" i="3"/>
  <c r="E35" i="3" s="1"/>
  <c r="D34" i="3"/>
  <c r="E41" i="3"/>
  <c r="E43" i="3" s="1"/>
  <c r="K33" i="3"/>
  <c r="K34" i="3" s="1"/>
  <c r="K25" i="3"/>
  <c r="K26" i="3" s="1"/>
  <c r="J41" i="3"/>
  <c r="J43" i="3" s="1"/>
  <c r="N33" i="3"/>
  <c r="G25" i="3"/>
  <c r="G26" i="3" s="1"/>
  <c r="G17" i="3"/>
  <c r="K41" i="3"/>
  <c r="K42" i="3" s="1"/>
  <c r="D41" i="3"/>
  <c r="E13" i="3"/>
  <c r="E16" i="3" s="1"/>
  <c r="N13" i="3"/>
  <c r="N17" i="3" s="1"/>
  <c r="J33" i="3"/>
  <c r="J34" i="3" s="1"/>
  <c r="I41" i="3"/>
  <c r="I42" i="3" s="1"/>
  <c r="C13" i="3"/>
  <c r="C25" i="3"/>
  <c r="C41" i="3"/>
  <c r="J25" i="3"/>
  <c r="J26" i="3" s="1"/>
  <c r="K16" i="3"/>
  <c r="D13" i="3"/>
  <c r="D25" i="3"/>
  <c r="H42" i="3"/>
  <c r="Q16" i="3"/>
  <c r="Q17" i="3"/>
  <c r="E27" i="3"/>
  <c r="P35" i="3" l="1"/>
  <c r="O34" i="3"/>
  <c r="C34" i="3"/>
  <c r="L42" i="3"/>
  <c r="P27" i="3"/>
  <c r="N27" i="3"/>
  <c r="O43" i="3"/>
  <c r="P42" i="3"/>
  <c r="P16" i="3"/>
  <c r="M43" i="3"/>
  <c r="O16" i="3"/>
  <c r="O27" i="3"/>
  <c r="H27" i="3"/>
  <c r="N42" i="3"/>
  <c r="M16" i="3"/>
  <c r="M27" i="3"/>
  <c r="L34" i="3"/>
  <c r="I27" i="3"/>
  <c r="H34" i="3"/>
  <c r="G34" i="3"/>
  <c r="H17" i="3"/>
  <c r="J35" i="3"/>
  <c r="G42" i="3"/>
  <c r="E17" i="3"/>
  <c r="K35" i="3"/>
  <c r="I43" i="3"/>
  <c r="L17" i="3"/>
  <c r="I34" i="3"/>
  <c r="N16" i="3"/>
  <c r="E34" i="3"/>
  <c r="K27" i="3"/>
  <c r="G27" i="3"/>
  <c r="K43" i="3"/>
  <c r="C27" i="3"/>
  <c r="C26" i="3"/>
  <c r="E42" i="3"/>
  <c r="N34" i="3"/>
  <c r="N35" i="3"/>
  <c r="C16" i="3"/>
  <c r="C17" i="3"/>
  <c r="J27" i="3"/>
  <c r="C43" i="3"/>
  <c r="C42" i="3"/>
  <c r="J42" i="3"/>
  <c r="D26" i="3"/>
  <c r="D27" i="3"/>
  <c r="D17" i="3"/>
  <c r="D16" i="3"/>
  <c r="D42" i="3"/>
  <c r="D43" i="3"/>
</calcChain>
</file>

<file path=xl/sharedStrings.xml><?xml version="1.0" encoding="utf-8"?>
<sst xmlns="http://schemas.openxmlformats.org/spreadsheetml/2006/main" count="2169" uniqueCount="63">
  <si>
    <t>Card</t>
  </si>
  <si>
    <t>2060s</t>
  </si>
  <si>
    <t>Off-peak</t>
  </si>
  <si>
    <t>Mid-peak</t>
  </si>
  <si>
    <t>On-peak</t>
  </si>
  <si>
    <t>Cost (c/kWh)</t>
  </si>
  <si>
    <t>Cost Calculation</t>
  </si>
  <si>
    <t>Weekday (h/day)</t>
  </si>
  <si>
    <t>Weekend (h/day)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</si>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</sst>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4" xfId="0" applyBorder="1"/>
    <xf numFmtId="164" fontId="0" fillId="0" borderId="5" xfId="1" applyNumberFormat="1" applyFont="1" applyBorder="1"/>
    <xf numFmtId="0" fontId="0" fillId="0" borderId="6" xfId="0" applyBorder="1"/>
    <xf numFmtId="164" fontId="0" fillId="0" borderId="8" xfId="1" applyNumberFormat="1" applyFont="1" applyBorder="1"/>
    <xf numFmtId="0" fontId="0" fillId="0" borderId="9" xfId="0" applyBorder="1"/>
    <xf numFmtId="0" fontId="0" fillId="0" borderId="10" xfId="0" applyBorder="1"/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0" fillId="0" borderId="26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5953</xdr:colOff>
          <xdr:row>2</xdr:row>
          <xdr:rowOff>11907</xdr:rowOff>
        </xdr:from>
        <xdr:to>
          <xdr:col>5</xdr:col>
          <xdr:colOff>0</xdr:colOff>
          <xdr:row>2</xdr:row>
          <xdr:rowOff>190499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ycharts.com/indicators/ethereum_average_block_time" TargetMode="External"/><Relationship Id="rId1" Type="http://schemas.openxmlformats.org/officeDocument/2006/relationships/hyperlink" Target="https://ycharts.com/indicators/ethereum_network_hash_rat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4"/>
  <sheetViews>
    <sheetView tabSelected="1" zoomScaleNormal="100" zoomScaleSheetLayoutView="115" workbookViewId="0">
      <selection activeCell="Q21" sqref="Q21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23" customWidth="1"/>
    <col min="4" max="5" width="7.5703125" customWidth="1"/>
    <col min="6" max="6" width="7.5703125" style="23" customWidth="1"/>
    <col min="7" max="17" width="7.5703125" customWidth="1"/>
    <col min="21" max="21" width="10" bestFit="1" customWidth="1"/>
  </cols>
  <sheetData>
    <row r="1" spans="1:29" s="23" customFormat="1" x14ac:dyDescent="0.25"/>
    <row r="2" spans="1:29" s="23" customFormat="1" ht="31.5" x14ac:dyDescent="0.25">
      <c r="A2" s="84" t="s">
        <v>41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</row>
    <row r="3" spans="1:29" s="23" customFormat="1" x14ac:dyDescent="0.25">
      <c r="B3" s="77" t="s">
        <v>50</v>
      </c>
      <c r="C3" s="83">
        <v>44363</v>
      </c>
      <c r="D3" s="83"/>
      <c r="N3" s="100" t="s">
        <v>55</v>
      </c>
      <c r="O3" s="100"/>
      <c r="P3" s="100"/>
      <c r="Q3" s="100"/>
      <c r="U3"/>
      <c r="V3"/>
      <c r="W3"/>
      <c r="X3"/>
      <c r="Y3"/>
      <c r="Z3"/>
      <c r="AA3"/>
      <c r="AB3"/>
      <c r="AC3"/>
    </row>
    <row r="4" spans="1:29" s="23" customFormat="1" ht="15.75" thickBot="1" x14ac:dyDescent="0.3">
      <c r="U4"/>
      <c r="V4"/>
      <c r="W4"/>
      <c r="X4"/>
      <c r="Y4"/>
      <c r="Z4"/>
      <c r="AA4"/>
      <c r="AB4"/>
      <c r="AC4"/>
    </row>
    <row r="5" spans="1:29" ht="15.75" thickBot="1" x14ac:dyDescent="0.3">
      <c r="A5" s="88" t="s">
        <v>36</v>
      </c>
      <c r="B5" s="81" t="s">
        <v>62</v>
      </c>
      <c r="C5" s="82"/>
      <c r="D5" s="76">
        <f>'Electricity Calculations'!F6</f>
        <v>10.324999999999999</v>
      </c>
      <c r="E5" s="1"/>
      <c r="F5" s="81" t="s">
        <v>56</v>
      </c>
      <c r="G5" s="82"/>
      <c r="H5" s="74">
        <v>2951.44</v>
      </c>
      <c r="I5" s="1"/>
      <c r="J5" s="81" t="s">
        <v>45</v>
      </c>
      <c r="K5" s="82"/>
      <c r="L5" s="75">
        <v>13.21</v>
      </c>
    </row>
    <row r="6" spans="1:29" s="23" customFormat="1" ht="15.75" thickBot="1" x14ac:dyDescent="0.3">
      <c r="A6" s="89"/>
      <c r="B6" s="81" t="s">
        <v>52</v>
      </c>
      <c r="C6" s="82"/>
      <c r="D6" s="75">
        <v>600</v>
      </c>
      <c r="E6" s="1"/>
      <c r="F6" s="81" t="s">
        <v>44</v>
      </c>
      <c r="G6" s="82"/>
      <c r="H6" s="76">
        <v>2.2000000000000002</v>
      </c>
      <c r="I6" s="1"/>
      <c r="J6" s="81" t="s">
        <v>54</v>
      </c>
      <c r="K6" s="82"/>
      <c r="L6" s="80">
        <f>24*3600/$L$5*$H$6*$H$5/D6/10000</f>
        <v>7.078093807721423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s="23" customFormat="1" ht="15.75" thickBot="1" x14ac:dyDescent="0.3">
      <c r="A7" s="89"/>
      <c r="U7"/>
      <c r="V7"/>
      <c r="W7"/>
      <c r="X7"/>
      <c r="Y7"/>
      <c r="Z7"/>
      <c r="AA7"/>
      <c r="AB7"/>
      <c r="AC7"/>
    </row>
    <row r="8" spans="1:29" ht="15.75" thickBot="1" x14ac:dyDescent="0.3">
      <c r="A8" s="89"/>
      <c r="B8" s="24" t="s">
        <v>0</v>
      </c>
      <c r="C8" s="26">
        <v>1070</v>
      </c>
      <c r="D8" s="27">
        <v>1080</v>
      </c>
      <c r="E8" s="27" t="s">
        <v>13</v>
      </c>
      <c r="F8" s="27" t="s">
        <v>51</v>
      </c>
      <c r="G8" s="27">
        <v>2060</v>
      </c>
      <c r="H8" s="27" t="s">
        <v>1</v>
      </c>
      <c r="I8" s="27">
        <v>2070</v>
      </c>
      <c r="J8" s="27" t="s">
        <v>15</v>
      </c>
      <c r="K8" s="27">
        <v>2080</v>
      </c>
      <c r="L8" s="27" t="s">
        <v>16</v>
      </c>
      <c r="M8" s="27" t="s">
        <v>17</v>
      </c>
      <c r="N8" s="27" t="s">
        <v>14</v>
      </c>
      <c r="O8" s="27">
        <v>3070</v>
      </c>
      <c r="P8" s="27">
        <v>3080</v>
      </c>
      <c r="Q8" s="28">
        <v>3090</v>
      </c>
    </row>
    <row r="9" spans="1:29" x14ac:dyDescent="0.25">
      <c r="A9" s="89"/>
      <c r="B9" s="43" t="s">
        <v>57</v>
      </c>
      <c r="C9" s="79">
        <f>$L$6*C10/100</f>
        <v>2.1234281423164272</v>
      </c>
      <c r="D9" s="44">
        <f>$L$6*D10/100</f>
        <v>2.5481137707797124</v>
      </c>
      <c r="E9" s="44">
        <f>$L$6*E10/100</f>
        <v>3.2559231515518547</v>
      </c>
      <c r="F9" s="44">
        <f>$L$6*F10/100</f>
        <v>2.1234281423164272</v>
      </c>
      <c r="G9" s="44">
        <f>$L$6*G10/100</f>
        <v>2.2649900184708556</v>
      </c>
      <c r="H9" s="44">
        <f>$L$6*H10/100</f>
        <v>2.9904946337623013</v>
      </c>
      <c r="I9" s="44">
        <f>$L$6*I10/100</f>
        <v>3.1143612753974264</v>
      </c>
      <c r="J9" s="44">
        <f>$L$6*J10/100</f>
        <v>3.0435803373202117</v>
      </c>
      <c r="K9" s="44">
        <f>$L$6*K10/100</f>
        <v>3.0435803373202117</v>
      </c>
      <c r="L9" s="44">
        <f>$L$6*L10/100</f>
        <v>2.9869555868584405</v>
      </c>
      <c r="M9" s="44">
        <f>$L$6*M10/100</f>
        <v>4.1902315341710832</v>
      </c>
      <c r="N9" s="44">
        <f>$L$6*N10/100</f>
        <v>4.282246753671461</v>
      </c>
      <c r="O9" s="44">
        <f>$L$6*O10/100</f>
        <v>4.2864936099560937</v>
      </c>
      <c r="P9" s="44">
        <f>$L$6*P10/100</f>
        <v>6.7949700554125663</v>
      </c>
      <c r="Q9" s="45">
        <f>$L$6*Q10/100</f>
        <v>8.4937125692657087</v>
      </c>
    </row>
    <row r="10" spans="1:29" x14ac:dyDescent="0.25">
      <c r="A10" s="89"/>
      <c r="B10" s="32" t="s">
        <v>12</v>
      </c>
      <c r="C10" s="36">
        <v>30</v>
      </c>
      <c r="D10" s="37">
        <v>36</v>
      </c>
      <c r="E10" s="37">
        <v>46</v>
      </c>
      <c r="F10" s="37">
        <v>30</v>
      </c>
      <c r="G10" s="37">
        <v>32</v>
      </c>
      <c r="H10" s="37">
        <v>42.25</v>
      </c>
      <c r="I10" s="37">
        <v>44</v>
      </c>
      <c r="J10" s="37">
        <v>43</v>
      </c>
      <c r="K10" s="37">
        <v>43</v>
      </c>
      <c r="L10" s="37">
        <v>42.2</v>
      </c>
      <c r="M10" s="37">
        <v>59.2</v>
      </c>
      <c r="N10" s="37">
        <v>60.5</v>
      </c>
      <c r="O10" s="37">
        <v>60.56</v>
      </c>
      <c r="P10" s="37">
        <v>96</v>
      </c>
      <c r="Q10" s="38">
        <v>120</v>
      </c>
    </row>
    <row r="11" spans="1:29" x14ac:dyDescent="0.25">
      <c r="A11" s="89"/>
      <c r="B11" s="46" t="s">
        <v>40</v>
      </c>
      <c r="C11" s="47">
        <v>120</v>
      </c>
      <c r="D11" s="48">
        <v>135</v>
      </c>
      <c r="E11" s="48">
        <v>240</v>
      </c>
      <c r="F11" s="48">
        <v>90</v>
      </c>
      <c r="G11" s="48">
        <v>90</v>
      </c>
      <c r="H11" s="48">
        <v>110</v>
      </c>
      <c r="I11" s="48">
        <v>120</v>
      </c>
      <c r="J11" s="48">
        <v>125</v>
      </c>
      <c r="K11" s="48">
        <v>108</v>
      </c>
      <c r="L11" s="48">
        <v>140</v>
      </c>
      <c r="M11" s="48">
        <v>230</v>
      </c>
      <c r="N11" s="48">
        <v>120</v>
      </c>
      <c r="O11" s="48">
        <v>120</v>
      </c>
      <c r="P11" s="48">
        <v>220</v>
      </c>
      <c r="Q11" s="49">
        <v>285</v>
      </c>
    </row>
    <row r="12" spans="1:29" x14ac:dyDescent="0.25">
      <c r="A12" s="89"/>
      <c r="B12" s="32" t="s">
        <v>61</v>
      </c>
      <c r="C12" s="33">
        <f>C11*24/1000*$D$5/100</f>
        <v>0.29735999999999996</v>
      </c>
      <c r="D12" s="34">
        <f t="shared" ref="D12:Q12" si="0">D11*24/1000*$D$5/100</f>
        <v>0.33453000000000005</v>
      </c>
      <c r="E12" s="34">
        <f t="shared" si="0"/>
        <v>0.59471999999999992</v>
      </c>
      <c r="F12" s="34">
        <f t="shared" si="0"/>
        <v>0.22302</v>
      </c>
      <c r="G12" s="34">
        <f t="shared" si="0"/>
        <v>0.22302</v>
      </c>
      <c r="H12" s="34">
        <f t="shared" si="0"/>
        <v>0.27257999999999999</v>
      </c>
      <c r="I12" s="34">
        <f t="shared" si="0"/>
        <v>0.29735999999999996</v>
      </c>
      <c r="J12" s="34">
        <f t="shared" si="0"/>
        <v>0.30974999999999997</v>
      </c>
      <c r="K12" s="34">
        <f t="shared" si="0"/>
        <v>0.26762399999999997</v>
      </c>
      <c r="L12" s="34">
        <f t="shared" si="0"/>
        <v>0.34691999999999995</v>
      </c>
      <c r="M12" s="34">
        <f t="shared" si="0"/>
        <v>0.56993999999999989</v>
      </c>
      <c r="N12" s="34">
        <f t="shared" si="0"/>
        <v>0.29735999999999996</v>
      </c>
      <c r="O12" s="34">
        <f t="shared" si="0"/>
        <v>0.29735999999999996</v>
      </c>
      <c r="P12" s="34">
        <f t="shared" si="0"/>
        <v>0.54515999999999998</v>
      </c>
      <c r="Q12" s="35">
        <f t="shared" si="0"/>
        <v>0.70622999999999991</v>
      </c>
    </row>
    <row r="13" spans="1:29" ht="17.25" x14ac:dyDescent="0.25">
      <c r="A13" s="89"/>
      <c r="B13" s="46" t="s">
        <v>58</v>
      </c>
      <c r="C13" s="50">
        <f t="shared" ref="C13:Q13" si="1">C9-C12</f>
        <v>1.8260681423164273</v>
      </c>
      <c r="D13" s="51">
        <f t="shared" si="1"/>
        <v>2.2135837707797124</v>
      </c>
      <c r="E13" s="51">
        <f t="shared" si="1"/>
        <v>2.6612031515518551</v>
      </c>
      <c r="F13" s="51">
        <f t="shared" ref="F13" si="2">F9-F12</f>
        <v>1.9004081423164272</v>
      </c>
      <c r="G13" s="51">
        <f>G9-G12</f>
        <v>2.0419700184708556</v>
      </c>
      <c r="H13" s="51">
        <f t="shared" si="1"/>
        <v>2.7179146337623012</v>
      </c>
      <c r="I13" s="51">
        <f t="shared" si="1"/>
        <v>2.8170012753974265</v>
      </c>
      <c r="J13" s="51">
        <f t="shared" si="1"/>
        <v>2.733830337320212</v>
      </c>
      <c r="K13" s="51">
        <f t="shared" si="1"/>
        <v>2.7759563373202116</v>
      </c>
      <c r="L13" s="51">
        <f t="shared" si="1"/>
        <v>2.6400355868584406</v>
      </c>
      <c r="M13" s="51">
        <f t="shared" si="1"/>
        <v>3.6202915341710833</v>
      </c>
      <c r="N13" s="51">
        <f t="shared" si="1"/>
        <v>3.9848867536714612</v>
      </c>
      <c r="O13" s="51">
        <f t="shared" si="1"/>
        <v>3.9891336099560939</v>
      </c>
      <c r="P13" s="51">
        <f t="shared" si="1"/>
        <v>6.2498100554125662</v>
      </c>
      <c r="Q13" s="52">
        <f t="shared" si="1"/>
        <v>7.787482569265709</v>
      </c>
    </row>
    <row r="14" spans="1:29" ht="17.25" x14ac:dyDescent="0.25">
      <c r="A14" s="89"/>
      <c r="B14" s="32" t="s">
        <v>59</v>
      </c>
      <c r="C14" s="36">
        <v>600</v>
      </c>
      <c r="D14" s="37">
        <v>700</v>
      </c>
      <c r="E14" s="37">
        <v>950</v>
      </c>
      <c r="F14" s="37">
        <v>600</v>
      </c>
      <c r="G14" s="37">
        <v>800</v>
      </c>
      <c r="H14" s="37">
        <v>950</v>
      </c>
      <c r="I14" s="37">
        <v>1000</v>
      </c>
      <c r="J14" s="37">
        <v>1000</v>
      </c>
      <c r="K14" s="37">
        <v>1300</v>
      </c>
      <c r="L14" s="37">
        <v>1000</v>
      </c>
      <c r="M14" s="37">
        <v>1800</v>
      </c>
      <c r="N14" s="37">
        <v>1800</v>
      </c>
      <c r="O14" s="37">
        <v>1200</v>
      </c>
      <c r="P14" s="37">
        <v>1800</v>
      </c>
      <c r="Q14" s="38">
        <v>2600</v>
      </c>
    </row>
    <row r="15" spans="1:29" x14ac:dyDescent="0.25">
      <c r="A15" s="89"/>
      <c r="B15" s="46" t="s">
        <v>18</v>
      </c>
      <c r="C15" s="50">
        <f t="shared" ref="C15:Q15" si="3">C10/C11</f>
        <v>0.25</v>
      </c>
      <c r="D15" s="51">
        <f t="shared" si="3"/>
        <v>0.26666666666666666</v>
      </c>
      <c r="E15" s="51">
        <f t="shared" si="3"/>
        <v>0.19166666666666668</v>
      </c>
      <c r="F15" s="51">
        <f t="shared" ref="F15" si="4">F10/F11</f>
        <v>0.33333333333333331</v>
      </c>
      <c r="G15" s="51">
        <f t="shared" si="3"/>
        <v>0.35555555555555557</v>
      </c>
      <c r="H15" s="51">
        <f t="shared" si="3"/>
        <v>0.38409090909090909</v>
      </c>
      <c r="I15" s="51">
        <f t="shared" si="3"/>
        <v>0.36666666666666664</v>
      </c>
      <c r="J15" s="51">
        <f t="shared" si="3"/>
        <v>0.34399999999999997</v>
      </c>
      <c r="K15" s="51">
        <f t="shared" si="3"/>
        <v>0.39814814814814814</v>
      </c>
      <c r="L15" s="51">
        <f t="shared" si="3"/>
        <v>0.30142857142857143</v>
      </c>
      <c r="M15" s="51">
        <f t="shared" si="3"/>
        <v>0.25739130434782609</v>
      </c>
      <c r="N15" s="51">
        <f>N10/N11</f>
        <v>0.50416666666666665</v>
      </c>
      <c r="O15" s="51">
        <f t="shared" si="3"/>
        <v>0.50466666666666671</v>
      </c>
      <c r="P15" s="51">
        <f t="shared" si="3"/>
        <v>0.43636363636363634</v>
      </c>
      <c r="Q15" s="52">
        <f t="shared" si="3"/>
        <v>0.42105263157894735</v>
      </c>
    </row>
    <row r="16" spans="1:29" x14ac:dyDescent="0.25">
      <c r="A16" s="89"/>
      <c r="B16" s="32" t="s">
        <v>60</v>
      </c>
      <c r="C16" s="56">
        <f t="shared" ref="C16" si="5">C14/C13</f>
        <v>328.57481388338573</v>
      </c>
      <c r="D16" s="57">
        <f t="shared" ref="D16:Q16" si="6">D14/D13</f>
        <v>316.229279072385</v>
      </c>
      <c r="E16" s="57">
        <f t="shared" si="6"/>
        <v>356.98138995740203</v>
      </c>
      <c r="F16" s="57">
        <f t="shared" ref="F16" si="7">F14/F13</f>
        <v>315.72165296484877</v>
      </c>
      <c r="G16" s="57">
        <f t="shared" si="6"/>
        <v>391.77852405447459</v>
      </c>
      <c r="H16" s="57">
        <f t="shared" si="6"/>
        <v>349.53268516934719</v>
      </c>
      <c r="I16" s="57">
        <f t="shared" si="6"/>
        <v>354.9874147142225</v>
      </c>
      <c r="J16" s="57">
        <f t="shared" si="6"/>
        <v>365.78714719371794</v>
      </c>
      <c r="K16" s="57">
        <f t="shared" si="6"/>
        <v>468.30707764480326</v>
      </c>
      <c r="L16" s="57">
        <f t="shared" si="6"/>
        <v>378.78277284510722</v>
      </c>
      <c r="M16" s="57">
        <f t="shared" si="6"/>
        <v>497.19752760522789</v>
      </c>
      <c r="N16" s="57">
        <f t="shared" si="6"/>
        <v>451.70668861331541</v>
      </c>
      <c r="O16" s="57">
        <f t="shared" si="6"/>
        <v>300.81719925475437</v>
      </c>
      <c r="P16" s="57">
        <f t="shared" si="6"/>
        <v>288.0087529125999</v>
      </c>
      <c r="Q16" s="58">
        <f t="shared" si="6"/>
        <v>333.86912611030823</v>
      </c>
    </row>
    <row r="17" spans="1:29" ht="18" thickBot="1" x14ac:dyDescent="0.3">
      <c r="A17" s="89"/>
      <c r="B17" s="25" t="s">
        <v>46</v>
      </c>
      <c r="C17" s="53">
        <f t="shared" ref="C17" si="8">C13*365/C14</f>
        <v>1.1108581199091601</v>
      </c>
      <c r="D17" s="54">
        <f t="shared" ref="D17:Q17" si="9">D13*365/D14</f>
        <v>1.1542258233351357</v>
      </c>
      <c r="E17" s="54">
        <f t="shared" si="9"/>
        <v>1.0224622634909759</v>
      </c>
      <c r="F17" s="54">
        <f t="shared" ref="F17" si="10">F13*365/F14</f>
        <v>1.1560816199091597</v>
      </c>
      <c r="G17" s="54">
        <f t="shared" si="9"/>
        <v>0.93164882092732781</v>
      </c>
      <c r="H17" s="54">
        <f t="shared" si="9"/>
        <v>1.0442514119191999</v>
      </c>
      <c r="I17" s="54">
        <f t="shared" si="9"/>
        <v>1.0282054655200608</v>
      </c>
      <c r="J17" s="54">
        <f t="shared" si="9"/>
        <v>0.9978480731218774</v>
      </c>
      <c r="K17" s="54">
        <f t="shared" si="9"/>
        <v>0.7794031254783671</v>
      </c>
      <c r="L17" s="54">
        <f t="shared" si="9"/>
        <v>0.96361298920333083</v>
      </c>
      <c r="M17" s="54">
        <f t="shared" si="9"/>
        <v>0.73411467220691407</v>
      </c>
      <c r="N17" s="54">
        <f t="shared" si="9"/>
        <v>0.80804648060560191</v>
      </c>
      <c r="O17" s="54">
        <f t="shared" si="9"/>
        <v>1.213361473028312</v>
      </c>
      <c r="P17" s="54">
        <f t="shared" si="9"/>
        <v>1.2673225945697704</v>
      </c>
      <c r="Q17" s="55">
        <f t="shared" si="9"/>
        <v>1.0932427453007629</v>
      </c>
    </row>
    <row r="18" spans="1:29" s="23" customFormat="1" x14ac:dyDescent="0.25">
      <c r="A18" s="89"/>
      <c r="B18" s="85" t="s">
        <v>47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7"/>
      <c r="U18"/>
      <c r="V18"/>
      <c r="W18"/>
      <c r="X18"/>
      <c r="Y18"/>
      <c r="Z18"/>
      <c r="AA18"/>
      <c r="AB18"/>
      <c r="AC18"/>
    </row>
    <row r="19" spans="1:29" ht="15.75" x14ac:dyDescent="0.25">
      <c r="A19" s="89"/>
      <c r="B19" s="91" t="s">
        <v>49</v>
      </c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3"/>
    </row>
    <row r="20" spans="1:29" ht="16.5" thickBot="1" x14ac:dyDescent="0.3">
      <c r="A20" s="90"/>
      <c r="B20" s="94" t="s">
        <v>48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6"/>
    </row>
    <row r="21" spans="1:29" ht="15.75" thickBot="1" x14ac:dyDescent="0.3"/>
    <row r="22" spans="1:29" ht="15.75" thickBot="1" x14ac:dyDescent="0.3">
      <c r="A22" s="88" t="s">
        <v>22</v>
      </c>
      <c r="B22" s="22" t="s">
        <v>37</v>
      </c>
      <c r="C22" s="78">
        <f>1-2/$H$6</f>
        <v>9.0909090909090939E-2</v>
      </c>
    </row>
    <row r="23" spans="1:29" ht="15.75" customHeight="1" thickBot="1" x14ac:dyDescent="0.3">
      <c r="A23" s="89"/>
      <c r="B23" s="4" t="s">
        <v>0</v>
      </c>
      <c r="C23" s="40">
        <f>C$8</f>
        <v>1070</v>
      </c>
      <c r="D23" s="41">
        <f t="shared" ref="D23:Q23" si="11">D$8</f>
        <v>1080</v>
      </c>
      <c r="E23" s="41" t="str">
        <f t="shared" si="11"/>
        <v>1080 Ti</v>
      </c>
      <c r="F23" s="41" t="str">
        <f t="shared" si="11"/>
        <v>1660s</v>
      </c>
      <c r="G23" s="41">
        <f t="shared" si="11"/>
        <v>2060</v>
      </c>
      <c r="H23" s="41" t="str">
        <f t="shared" si="11"/>
        <v>2060s</v>
      </c>
      <c r="I23" s="41">
        <f t="shared" si="11"/>
        <v>2070</v>
      </c>
      <c r="J23" s="41" t="str">
        <f t="shared" si="11"/>
        <v>2070s</v>
      </c>
      <c r="K23" s="41">
        <f t="shared" si="11"/>
        <v>2080</v>
      </c>
      <c r="L23" s="41" t="str">
        <f t="shared" si="11"/>
        <v>2080s</v>
      </c>
      <c r="M23" s="41" t="str">
        <f t="shared" si="11"/>
        <v>2080Ti</v>
      </c>
      <c r="N23" s="41" t="str">
        <f t="shared" si="11"/>
        <v>3060 Ti</v>
      </c>
      <c r="O23" s="41">
        <f t="shared" si="11"/>
        <v>3070</v>
      </c>
      <c r="P23" s="41">
        <f t="shared" si="11"/>
        <v>3080</v>
      </c>
      <c r="Q23" s="42">
        <f t="shared" si="11"/>
        <v>3090</v>
      </c>
    </row>
    <row r="24" spans="1:29" x14ac:dyDescent="0.25">
      <c r="A24" s="89"/>
      <c r="B24" s="59" t="s">
        <v>39</v>
      </c>
      <c r="C24" s="60">
        <f t="shared" ref="C24:Q24" si="12">C$9*(1-$C$22)</f>
        <v>1.9303892202876609</v>
      </c>
      <c r="D24" s="61">
        <f t="shared" si="12"/>
        <v>2.316467064345193</v>
      </c>
      <c r="E24" s="61">
        <f t="shared" si="12"/>
        <v>2.9599301377744132</v>
      </c>
      <c r="F24" s="61">
        <f t="shared" si="12"/>
        <v>1.9303892202876609</v>
      </c>
      <c r="G24" s="61">
        <f t="shared" si="12"/>
        <v>2.0590818349735049</v>
      </c>
      <c r="H24" s="61">
        <f t="shared" si="12"/>
        <v>2.7186314852384554</v>
      </c>
      <c r="I24" s="61">
        <f t="shared" si="12"/>
        <v>2.8312375230885691</v>
      </c>
      <c r="J24" s="61">
        <f t="shared" si="12"/>
        <v>2.7668912157456469</v>
      </c>
      <c r="K24" s="61">
        <f t="shared" si="12"/>
        <v>2.7668912157456469</v>
      </c>
      <c r="L24" s="61">
        <f t="shared" si="12"/>
        <v>2.7154141698713095</v>
      </c>
      <c r="M24" s="61">
        <f t="shared" si="12"/>
        <v>3.8093013947009844</v>
      </c>
      <c r="N24" s="61">
        <f t="shared" si="12"/>
        <v>3.8929515942467825</v>
      </c>
      <c r="O24" s="61">
        <f t="shared" si="12"/>
        <v>3.896812372687358</v>
      </c>
      <c r="P24" s="61">
        <f t="shared" si="12"/>
        <v>6.1772455049205144</v>
      </c>
      <c r="Q24" s="62">
        <f t="shared" si="12"/>
        <v>7.7215568811506436</v>
      </c>
    </row>
    <row r="25" spans="1:29" x14ac:dyDescent="0.25">
      <c r="A25" s="89"/>
      <c r="B25" s="39" t="s">
        <v>21</v>
      </c>
      <c r="C25" s="67">
        <f t="shared" ref="C25:Q25" si="13">C24-C$12</f>
        <v>1.6330292202876611</v>
      </c>
      <c r="D25" s="68">
        <f t="shared" si="13"/>
        <v>1.981937064345193</v>
      </c>
      <c r="E25" s="68">
        <f t="shared" si="13"/>
        <v>2.3652101377744135</v>
      </c>
      <c r="F25" s="68">
        <f t="shared" ref="F25" si="14">F24-F$12</f>
        <v>1.7073692202876609</v>
      </c>
      <c r="G25" s="68">
        <f t="shared" si="13"/>
        <v>1.8360618349735049</v>
      </c>
      <c r="H25" s="68">
        <f t="shared" si="13"/>
        <v>2.4460514852384554</v>
      </c>
      <c r="I25" s="68">
        <f t="shared" si="13"/>
        <v>2.5338775230885693</v>
      </c>
      <c r="J25" s="68">
        <f t="shared" si="13"/>
        <v>2.4571412157456471</v>
      </c>
      <c r="K25" s="68">
        <f t="shared" si="13"/>
        <v>2.4992672157456468</v>
      </c>
      <c r="L25" s="68">
        <f t="shared" si="13"/>
        <v>2.3684941698713096</v>
      </c>
      <c r="M25" s="68">
        <f t="shared" si="13"/>
        <v>3.2393613947009845</v>
      </c>
      <c r="N25" s="68">
        <f t="shared" si="13"/>
        <v>3.5955915942467827</v>
      </c>
      <c r="O25" s="68">
        <f t="shared" si="13"/>
        <v>3.5994523726873582</v>
      </c>
      <c r="P25" s="68">
        <f t="shared" si="13"/>
        <v>5.6320855049205143</v>
      </c>
      <c r="Q25" s="69">
        <f t="shared" si="13"/>
        <v>7.015326881150644</v>
      </c>
    </row>
    <row r="26" spans="1:29" x14ac:dyDescent="0.25">
      <c r="A26" s="89"/>
      <c r="B26" s="63" t="s">
        <v>19</v>
      </c>
      <c r="C26" s="64">
        <f t="shared" ref="C26:Q26" si="15">IF(C25&gt;0,C$14/C25,"N/A")</f>
        <v>367.41534844937365</v>
      </c>
      <c r="D26" s="65">
        <f t="shared" si="15"/>
        <v>353.18982251904714</v>
      </c>
      <c r="E26" s="65">
        <f t="shared" si="15"/>
        <v>401.65564354206572</v>
      </c>
      <c r="F26" s="65">
        <f t="shared" ref="F26" si="16">IF(F25&gt;0,F$14/F25,"N/A")</f>
        <v>351.41783796413455</v>
      </c>
      <c r="G26" s="65">
        <f t="shared" si="15"/>
        <v>435.71517296504578</v>
      </c>
      <c r="H26" s="65">
        <f t="shared" si="15"/>
        <v>388.38103193375281</v>
      </c>
      <c r="I26" s="65">
        <f t="shared" si="15"/>
        <v>394.65206620606102</v>
      </c>
      <c r="J26" s="65">
        <f t="shared" si="15"/>
        <v>406.97701605096341</v>
      </c>
      <c r="K26" s="65">
        <f t="shared" si="15"/>
        <v>520.1524638141384</v>
      </c>
      <c r="L26" s="65">
        <f t="shared" si="15"/>
        <v>422.20918789693889</v>
      </c>
      <c r="M26" s="65">
        <f t="shared" si="15"/>
        <v>555.66507736508743</v>
      </c>
      <c r="N26" s="65">
        <f t="shared" si="15"/>
        <v>500.61302926620908</v>
      </c>
      <c r="O26" s="65">
        <f t="shared" si="15"/>
        <v>333.38404728052495</v>
      </c>
      <c r="P26" s="65">
        <f t="shared" si="15"/>
        <v>319.59742060510558</v>
      </c>
      <c r="Q26" s="66">
        <f t="shared" si="15"/>
        <v>370.61708514052185</v>
      </c>
    </row>
    <row r="27" spans="1:29" ht="15.75" thickBot="1" x14ac:dyDescent="0.3">
      <c r="A27" s="89"/>
      <c r="B27" s="70" t="s">
        <v>20</v>
      </c>
      <c r="C27" s="71">
        <f>C25*365/C$14</f>
        <v>0.99342610900832706</v>
      </c>
      <c r="D27" s="72">
        <f>D25*365/D$14</f>
        <v>1.0334386121228505</v>
      </c>
      <c r="E27" s="72">
        <f t="shared" ref="E27:Q27" si="17">E25*365/E14</f>
        <v>0.9087386318817483</v>
      </c>
      <c r="F27" s="72">
        <f t="shared" ref="F27" si="18">F25*365/F14</f>
        <v>1.038649609008327</v>
      </c>
      <c r="G27" s="72">
        <f t="shared" si="17"/>
        <v>0.83770321220666166</v>
      </c>
      <c r="H27" s="72">
        <f t="shared" si="17"/>
        <v>0.9397987285389855</v>
      </c>
      <c r="I27" s="72">
        <f t="shared" si="17"/>
        <v>0.9248652959273278</v>
      </c>
      <c r="J27" s="72">
        <f t="shared" si="17"/>
        <v>0.89685654374716128</v>
      </c>
      <c r="K27" s="72">
        <f t="shared" si="17"/>
        <v>0.70171733365166244</v>
      </c>
      <c r="L27" s="72">
        <f t="shared" si="17"/>
        <v>0.86450037200302798</v>
      </c>
      <c r="M27" s="72">
        <f t="shared" si="17"/>
        <v>0.6568705050365885</v>
      </c>
      <c r="N27" s="72">
        <f t="shared" si="17"/>
        <v>0.72910607327781984</v>
      </c>
      <c r="O27" s="72">
        <f t="shared" si="17"/>
        <v>1.0948334300257381</v>
      </c>
      <c r="P27" s="72">
        <f t="shared" si="17"/>
        <v>1.1420617829422155</v>
      </c>
      <c r="Q27" s="73">
        <f t="shared" si="17"/>
        <v>0.98484396600768653</v>
      </c>
    </row>
    <row r="28" spans="1:29" ht="108.75" customHeight="1" thickBot="1" x14ac:dyDescent="0.3">
      <c r="A28" s="90"/>
      <c r="B28" s="97" t="s">
        <v>43</v>
      </c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9"/>
    </row>
    <row r="29" spans="1:29" ht="15.75" thickBot="1" x14ac:dyDescent="0.3"/>
    <row r="30" spans="1:29" ht="15.75" thickBot="1" x14ac:dyDescent="0.3">
      <c r="A30" s="88" t="s">
        <v>23</v>
      </c>
      <c r="B30" s="22" t="s">
        <v>37</v>
      </c>
      <c r="C30" s="78">
        <f>1-83/1405</f>
        <v>0.94092526690391454</v>
      </c>
    </row>
    <row r="31" spans="1:29" ht="15.75" customHeight="1" thickBot="1" x14ac:dyDescent="0.3">
      <c r="A31" s="89"/>
      <c r="B31" s="4" t="s">
        <v>0</v>
      </c>
      <c r="C31" s="40">
        <f>C$8</f>
        <v>1070</v>
      </c>
      <c r="D31" s="41">
        <f t="shared" ref="D31:Q31" si="19">D$8</f>
        <v>1080</v>
      </c>
      <c r="E31" s="41" t="str">
        <f t="shared" si="19"/>
        <v>1080 Ti</v>
      </c>
      <c r="F31" s="41" t="str">
        <f t="shared" si="19"/>
        <v>1660s</v>
      </c>
      <c r="G31" s="41">
        <f t="shared" si="19"/>
        <v>2060</v>
      </c>
      <c r="H31" s="41" t="str">
        <f t="shared" si="19"/>
        <v>2060s</v>
      </c>
      <c r="I31" s="41">
        <f t="shared" si="19"/>
        <v>2070</v>
      </c>
      <c r="J31" s="41" t="str">
        <f t="shared" si="19"/>
        <v>2070s</v>
      </c>
      <c r="K31" s="41">
        <f t="shared" si="19"/>
        <v>2080</v>
      </c>
      <c r="L31" s="41" t="str">
        <f t="shared" si="19"/>
        <v>2080s</v>
      </c>
      <c r="M31" s="41" t="str">
        <f t="shared" si="19"/>
        <v>2080Ti</v>
      </c>
      <c r="N31" s="41" t="str">
        <f t="shared" si="19"/>
        <v>3060 Ti</v>
      </c>
      <c r="O31" s="41">
        <f t="shared" si="19"/>
        <v>3070</v>
      </c>
      <c r="P31" s="41">
        <f t="shared" si="19"/>
        <v>3080</v>
      </c>
      <c r="Q31" s="42">
        <f t="shared" si="19"/>
        <v>3090</v>
      </c>
    </row>
    <row r="32" spans="1:29" x14ac:dyDescent="0.25">
      <c r="A32" s="89"/>
      <c r="B32" s="59" t="s">
        <v>39</v>
      </c>
      <c r="C32" s="60">
        <f t="shared" ref="C32:Q32" si="20">C$9*(1-$C$30)</f>
        <v>0.12544095075605952</v>
      </c>
      <c r="D32" s="61">
        <f t="shared" si="20"/>
        <v>0.1505291409072714</v>
      </c>
      <c r="E32" s="61">
        <f t="shared" si="20"/>
        <v>0.19234279115929123</v>
      </c>
      <c r="F32" s="61">
        <f t="shared" si="20"/>
        <v>0.12544095075605952</v>
      </c>
      <c r="G32" s="61">
        <f t="shared" si="20"/>
        <v>0.13380368080646349</v>
      </c>
      <c r="H32" s="61">
        <f t="shared" si="20"/>
        <v>0.1766626723147838</v>
      </c>
      <c r="I32" s="61">
        <f t="shared" si="20"/>
        <v>0.18398006110888729</v>
      </c>
      <c r="J32" s="61">
        <f t="shared" si="20"/>
        <v>0.17979869608368526</v>
      </c>
      <c r="K32" s="61">
        <f t="shared" si="20"/>
        <v>0.17979869608368526</v>
      </c>
      <c r="L32" s="61">
        <f t="shared" si="20"/>
        <v>0.1764536040635237</v>
      </c>
      <c r="M32" s="61">
        <f t="shared" si="20"/>
        <v>0.24753680949195744</v>
      </c>
      <c r="N32" s="61">
        <f t="shared" si="20"/>
        <v>0.25297258402472</v>
      </c>
      <c r="O32" s="61">
        <f t="shared" si="20"/>
        <v>0.25322346592623213</v>
      </c>
      <c r="P32" s="61">
        <f t="shared" si="20"/>
        <v>0.40141104241939041</v>
      </c>
      <c r="Q32" s="62">
        <f t="shared" si="20"/>
        <v>0.50176380302423806</v>
      </c>
    </row>
    <row r="33" spans="1:17" x14ac:dyDescent="0.25">
      <c r="A33" s="89"/>
      <c r="B33" s="39" t="s">
        <v>21</v>
      </c>
      <c r="C33" s="67">
        <f t="shared" ref="C33:Q33" si="21">C32-C$12</f>
        <v>-0.17191904924394044</v>
      </c>
      <c r="D33" s="68">
        <f t="shared" si="21"/>
        <v>-0.18400085909272865</v>
      </c>
      <c r="E33" s="68">
        <f t="shared" si="21"/>
        <v>-0.40237720884070871</v>
      </c>
      <c r="F33" s="68">
        <f t="shared" ref="F33" si="22">F32-F$12</f>
        <v>-9.757904924394048E-2</v>
      </c>
      <c r="G33" s="68">
        <f t="shared" si="21"/>
        <v>-8.9216319193536509E-2</v>
      </c>
      <c r="H33" s="68">
        <f t="shared" si="21"/>
        <v>-9.5917327685216186E-2</v>
      </c>
      <c r="I33" s="68">
        <f t="shared" si="21"/>
        <v>-0.11337993889111267</v>
      </c>
      <c r="J33" s="68">
        <f t="shared" si="21"/>
        <v>-0.12995130391631471</v>
      </c>
      <c r="K33" s="68">
        <f t="shared" si="21"/>
        <v>-8.7825303916314712E-2</v>
      </c>
      <c r="L33" s="68">
        <f t="shared" si="21"/>
        <v>-0.17046639593647625</v>
      </c>
      <c r="M33" s="68">
        <f t="shared" si="21"/>
        <v>-0.32240319050804245</v>
      </c>
      <c r="N33" s="68">
        <f t="shared" si="21"/>
        <v>-4.4387415975279954E-2</v>
      </c>
      <c r="O33" s="68">
        <f t="shared" si="21"/>
        <v>-4.413653407376783E-2</v>
      </c>
      <c r="P33" s="68">
        <f t="shared" si="21"/>
        <v>-0.14374895758060957</v>
      </c>
      <c r="Q33" s="69">
        <f t="shared" si="21"/>
        <v>-0.20446619697576185</v>
      </c>
    </row>
    <row r="34" spans="1:17" x14ac:dyDescent="0.25">
      <c r="A34" s="89"/>
      <c r="B34" s="63" t="s">
        <v>19</v>
      </c>
      <c r="C34" s="64" t="str">
        <f t="shared" ref="C34:Q34" si="23">IF(C33&gt;0,C$14/C33,"N/A")</f>
        <v>N/A</v>
      </c>
      <c r="D34" s="65" t="str">
        <f t="shared" si="23"/>
        <v>N/A</v>
      </c>
      <c r="E34" s="65" t="str">
        <f t="shared" si="23"/>
        <v>N/A</v>
      </c>
      <c r="F34" s="65" t="str">
        <f t="shared" ref="F34" si="24">IF(F33&gt;0,F$14/F33,"N/A")</f>
        <v>N/A</v>
      </c>
      <c r="G34" s="65" t="str">
        <f t="shared" si="23"/>
        <v>N/A</v>
      </c>
      <c r="H34" s="65" t="str">
        <f t="shared" si="23"/>
        <v>N/A</v>
      </c>
      <c r="I34" s="65" t="str">
        <f t="shared" si="23"/>
        <v>N/A</v>
      </c>
      <c r="J34" s="65" t="str">
        <f t="shared" si="23"/>
        <v>N/A</v>
      </c>
      <c r="K34" s="65" t="str">
        <f t="shared" si="23"/>
        <v>N/A</v>
      </c>
      <c r="L34" s="65" t="str">
        <f t="shared" si="23"/>
        <v>N/A</v>
      </c>
      <c r="M34" s="65" t="str">
        <f t="shared" si="23"/>
        <v>N/A</v>
      </c>
      <c r="N34" s="65" t="str">
        <f t="shared" si="23"/>
        <v>N/A</v>
      </c>
      <c r="O34" s="65" t="str">
        <f t="shared" si="23"/>
        <v>N/A</v>
      </c>
      <c r="P34" s="65" t="str">
        <f t="shared" si="23"/>
        <v>N/A</v>
      </c>
      <c r="Q34" s="66" t="str">
        <f t="shared" si="23"/>
        <v>N/A</v>
      </c>
    </row>
    <row r="35" spans="1:17" ht="15.75" thickBot="1" x14ac:dyDescent="0.3">
      <c r="A35" s="89"/>
      <c r="B35" s="70" t="s">
        <v>20</v>
      </c>
      <c r="C35" s="71">
        <f t="shared" ref="C35:Q35" si="25">C33*365/C$14</f>
        <v>-0.10458408829006377</v>
      </c>
      <c r="D35" s="72">
        <f t="shared" si="25"/>
        <v>-9.5943305098351361E-2</v>
      </c>
      <c r="E35" s="72">
        <f t="shared" si="25"/>
        <v>-0.15459755918616702</v>
      </c>
      <c r="F35" s="72">
        <f t="shared" ref="F35" si="26">F33*365/F$14</f>
        <v>-5.9360588290063798E-2</v>
      </c>
      <c r="G35" s="72">
        <f t="shared" si="25"/>
        <v>-4.0704945632051029E-2</v>
      </c>
      <c r="H35" s="72">
        <f t="shared" si="25"/>
        <v>-3.685244695274096E-2</v>
      </c>
      <c r="I35" s="72">
        <f t="shared" si="25"/>
        <v>-4.1383677695256124E-2</v>
      </c>
      <c r="J35" s="72">
        <f t="shared" si="25"/>
        <v>-4.7432225929454869E-2</v>
      </c>
      <c r="K35" s="72">
        <f t="shared" si="25"/>
        <v>-2.4658643022657592E-2</v>
      </c>
      <c r="L35" s="72">
        <f t="shared" si="25"/>
        <v>-6.2220234516813834E-2</v>
      </c>
      <c r="M35" s="72">
        <f t="shared" si="25"/>
        <v>-6.5376202519686386E-2</v>
      </c>
      <c r="N35" s="72">
        <f t="shared" si="25"/>
        <v>-9.0007815727651021E-3</v>
      </c>
      <c r="O35" s="72">
        <f t="shared" si="25"/>
        <v>-1.3424862447437715E-2</v>
      </c>
      <c r="P35" s="72">
        <f t="shared" si="25"/>
        <v>-2.9149094176068053E-2</v>
      </c>
      <c r="Q35" s="73">
        <f t="shared" si="25"/>
        <v>-2.8703908421597334E-2</v>
      </c>
    </row>
    <row r="36" spans="1:17" ht="80.25" customHeight="1" thickBot="1" x14ac:dyDescent="0.3">
      <c r="A36" s="90"/>
      <c r="B36" s="97" t="s">
        <v>53</v>
      </c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9"/>
    </row>
    <row r="37" spans="1:17" ht="15.75" thickBot="1" x14ac:dyDescent="0.3"/>
    <row r="38" spans="1:17" ht="15.75" thickBot="1" x14ac:dyDescent="0.3">
      <c r="A38" s="88" t="s">
        <v>38</v>
      </c>
      <c r="B38" s="22" t="s">
        <v>37</v>
      </c>
      <c r="C38" s="78">
        <f>1-485/1405</f>
        <v>0.65480427046263345</v>
      </c>
    </row>
    <row r="39" spans="1:17" ht="15.75" thickBot="1" x14ac:dyDescent="0.3">
      <c r="A39" s="89"/>
      <c r="B39" s="4" t="s">
        <v>0</v>
      </c>
      <c r="C39" s="40">
        <f>C$8</f>
        <v>1070</v>
      </c>
      <c r="D39" s="41">
        <f t="shared" ref="D39:Q39" si="27">D$8</f>
        <v>1080</v>
      </c>
      <c r="E39" s="41" t="str">
        <f t="shared" si="27"/>
        <v>1080 Ti</v>
      </c>
      <c r="F39" s="41" t="str">
        <f t="shared" si="27"/>
        <v>1660s</v>
      </c>
      <c r="G39" s="41">
        <f t="shared" si="27"/>
        <v>2060</v>
      </c>
      <c r="H39" s="41" t="str">
        <f t="shared" si="27"/>
        <v>2060s</v>
      </c>
      <c r="I39" s="41">
        <f t="shared" si="27"/>
        <v>2070</v>
      </c>
      <c r="J39" s="41" t="str">
        <f t="shared" si="27"/>
        <v>2070s</v>
      </c>
      <c r="K39" s="41">
        <f t="shared" si="27"/>
        <v>2080</v>
      </c>
      <c r="L39" s="41" t="str">
        <f t="shared" si="27"/>
        <v>2080s</v>
      </c>
      <c r="M39" s="41" t="str">
        <f t="shared" si="27"/>
        <v>2080Ti</v>
      </c>
      <c r="N39" s="41" t="str">
        <f t="shared" si="27"/>
        <v>3060 Ti</v>
      </c>
      <c r="O39" s="41">
        <f t="shared" si="27"/>
        <v>3070</v>
      </c>
      <c r="P39" s="41">
        <f t="shared" si="27"/>
        <v>3080</v>
      </c>
      <c r="Q39" s="42">
        <f t="shared" si="27"/>
        <v>3090</v>
      </c>
    </row>
    <row r="40" spans="1:17" x14ac:dyDescent="0.25">
      <c r="A40" s="89"/>
      <c r="B40" s="59" t="s">
        <v>39</v>
      </c>
      <c r="C40" s="60">
        <f t="shared" ref="C40:Q40" si="28">C$9*(1-$C$38)</f>
        <v>0.73299832670709408</v>
      </c>
      <c r="D40" s="61">
        <f t="shared" si="28"/>
        <v>0.87959799204851286</v>
      </c>
      <c r="E40" s="61">
        <f t="shared" si="28"/>
        <v>1.1239307676175441</v>
      </c>
      <c r="F40" s="61">
        <f t="shared" si="28"/>
        <v>0.73299832670709408</v>
      </c>
      <c r="G40" s="61">
        <f t="shared" si="28"/>
        <v>0.7818648818209003</v>
      </c>
      <c r="H40" s="61">
        <f t="shared" si="28"/>
        <v>1.0323059767791574</v>
      </c>
      <c r="I40" s="61">
        <f t="shared" si="28"/>
        <v>1.075064212503738</v>
      </c>
      <c r="J40" s="61">
        <f t="shared" si="28"/>
        <v>1.0506309349468346</v>
      </c>
      <c r="K40" s="61">
        <f t="shared" si="28"/>
        <v>1.0506309349468346</v>
      </c>
      <c r="L40" s="61">
        <f t="shared" si="28"/>
        <v>1.0310843129013123</v>
      </c>
      <c r="M40" s="61">
        <f t="shared" si="28"/>
        <v>1.4464500313686657</v>
      </c>
      <c r="N40" s="61">
        <f t="shared" si="28"/>
        <v>1.4782132921926396</v>
      </c>
      <c r="O40" s="61">
        <f t="shared" si="28"/>
        <v>1.4796792888460537</v>
      </c>
      <c r="P40" s="61">
        <f t="shared" si="28"/>
        <v>2.3455946454627008</v>
      </c>
      <c r="Q40" s="62">
        <f t="shared" si="28"/>
        <v>2.9319933068283763</v>
      </c>
    </row>
    <row r="41" spans="1:17" x14ac:dyDescent="0.25">
      <c r="A41" s="89"/>
      <c r="B41" s="39" t="s">
        <v>21</v>
      </c>
      <c r="C41" s="67">
        <f>C40-C$12</f>
        <v>0.43563832670709413</v>
      </c>
      <c r="D41" s="68">
        <f>D40-D$12</f>
        <v>0.54506799204851286</v>
      </c>
      <c r="E41" s="68">
        <f t="shared" ref="E41:F41" si="29">E40-E$12</f>
        <v>0.52921076761754415</v>
      </c>
      <c r="F41" s="68">
        <f t="shared" si="29"/>
        <v>0.50997832670709409</v>
      </c>
      <c r="G41" s="68">
        <f t="shared" ref="G41" si="30">G40-G$12</f>
        <v>0.55884488182090031</v>
      </c>
      <c r="H41" s="68">
        <f t="shared" ref="H41" si="31">H40-H$12</f>
        <v>0.75972597677915732</v>
      </c>
      <c r="I41" s="68">
        <f t="shared" ref="I41" si="32">I40-I$12</f>
        <v>0.777704212503738</v>
      </c>
      <c r="J41" s="68">
        <f t="shared" ref="J41" si="33">J40-J$12</f>
        <v>0.7408809349468346</v>
      </c>
      <c r="K41" s="68">
        <f t="shared" ref="K41" si="34">K40-K$12</f>
        <v>0.7830069349468346</v>
      </c>
      <c r="L41" s="68">
        <f t="shared" ref="L41" si="35">L40-L$12</f>
        <v>0.68416431290131241</v>
      </c>
      <c r="M41" s="68">
        <f t="shared" ref="M41" si="36">M40-M$12</f>
        <v>0.87651003136866579</v>
      </c>
      <c r="N41" s="68">
        <f t="shared" ref="N41" si="37">N40-N$12</f>
        <v>1.1808532921926398</v>
      </c>
      <c r="O41" s="68">
        <f t="shared" ref="O41" si="38">O40-O$12</f>
        <v>1.1823192888460539</v>
      </c>
      <c r="P41" s="68">
        <f t="shared" ref="P41" si="39">P40-P$12</f>
        <v>1.8004346454627007</v>
      </c>
      <c r="Q41" s="69">
        <f>Q40-Q$12</f>
        <v>2.2257633068283766</v>
      </c>
    </row>
    <row r="42" spans="1:17" x14ac:dyDescent="0.25">
      <c r="A42" s="89"/>
      <c r="B42" s="63" t="s">
        <v>19</v>
      </c>
      <c r="C42" s="64">
        <f>IF(C41&gt;0,C$14/C41,"N/A")</f>
        <v>1377.2892861270586</v>
      </c>
      <c r="D42" s="65">
        <f>IF(D41&gt;0,D$14/D41,"N/A")</f>
        <v>1284.2434525814124</v>
      </c>
      <c r="E42" s="65">
        <f t="shared" ref="E42:F42" si="40">IF(E41&gt;0,E$14/E41,"N/A")</f>
        <v>1795.1259840702191</v>
      </c>
      <c r="F42" s="65">
        <f t="shared" si="40"/>
        <v>1176.5205864221164</v>
      </c>
      <c r="G42" s="65">
        <f t="shared" ref="G42" si="41">IF(G41&gt;0,G$14/G41,"N/A")</f>
        <v>1431.524249436332</v>
      </c>
      <c r="H42" s="65">
        <f t="shared" ref="H42" si="42">IF(H41&gt;0,H$14/H41,"N/A")</f>
        <v>1250.4508586470947</v>
      </c>
      <c r="I42" s="65">
        <f t="shared" ref="I42" si="43">IF(I41&gt;0,I$14/I41,"N/A")</f>
        <v>1285.8359051195105</v>
      </c>
      <c r="J42" s="65">
        <f t="shared" ref="J42" si="44">IF(J41&gt;0,J$14/J41,"N/A")</f>
        <v>1349.7445444074758</v>
      </c>
      <c r="K42" s="65">
        <f t="shared" ref="K42" si="45">IF(K41&gt;0,K$14/K41,"N/A")</f>
        <v>1660.2662658259453</v>
      </c>
      <c r="L42" s="65">
        <f t="shared" ref="L42" si="46">IF(L41&gt;0,L$14/L41,"N/A")</f>
        <v>1461.6371844350283</v>
      </c>
      <c r="M42" s="65">
        <f t="shared" ref="M42" si="47">IF(M41&gt;0,M$14/M41,"N/A")</f>
        <v>2053.5988586340645</v>
      </c>
      <c r="N42" s="65">
        <f t="shared" ref="N42" si="48">IF(N41&gt;0,N$14/N41,"N/A")</f>
        <v>1524.3214478046737</v>
      </c>
      <c r="O42" s="65">
        <f t="shared" ref="O42" si="49">IF(O41&gt;0,O$14/O41,"N/A")</f>
        <v>1014.9542609350495</v>
      </c>
      <c r="P42" s="65">
        <f t="shared" ref="P42" si="50">IF(P41&gt;0,P$14/P41,"N/A")</f>
        <v>999.75858859204027</v>
      </c>
      <c r="Q42" s="66">
        <f>IF(Q41&gt;0,Q$14/Q41,"N/A")</f>
        <v>1168.1385850973056</v>
      </c>
    </row>
    <row r="43" spans="1:17" ht="15.75" thickBot="1" x14ac:dyDescent="0.3">
      <c r="A43" s="89"/>
      <c r="B43" s="70" t="s">
        <v>20</v>
      </c>
      <c r="C43" s="29">
        <f t="shared" ref="C43:Q43" si="51">C41*365/C$14</f>
        <v>0.26501331541348228</v>
      </c>
      <c r="D43" s="30">
        <f t="shared" si="51"/>
        <v>0.28421402442529597</v>
      </c>
      <c r="E43" s="30">
        <f>E41*365/E$14</f>
        <v>0.20332834755831961</v>
      </c>
      <c r="F43" s="30">
        <f>F41*365/F$14</f>
        <v>0.31023681541348225</v>
      </c>
      <c r="G43" s="30">
        <f t="shared" si="51"/>
        <v>0.25497297733078578</v>
      </c>
      <c r="H43" s="30">
        <f t="shared" si="51"/>
        <v>0.29189471739409728</v>
      </c>
      <c r="I43" s="30">
        <f t="shared" si="51"/>
        <v>0.28386203756386436</v>
      </c>
      <c r="J43" s="30">
        <f t="shared" si="51"/>
        <v>0.27042154125559459</v>
      </c>
      <c r="K43" s="30">
        <f t="shared" si="51"/>
        <v>0.21984425481199585</v>
      </c>
      <c r="L43" s="30">
        <f t="shared" si="51"/>
        <v>0.24971997420897904</v>
      </c>
      <c r="M43" s="30">
        <f t="shared" si="51"/>
        <v>0.17773675636086836</v>
      </c>
      <c r="N43" s="30">
        <f t="shared" si="51"/>
        <v>0.23945080647239639</v>
      </c>
      <c r="O43" s="30">
        <f t="shared" si="51"/>
        <v>0.35962211702400804</v>
      </c>
      <c r="P43" s="30">
        <f t="shared" si="51"/>
        <v>0.36508813644104765</v>
      </c>
      <c r="Q43" s="31">
        <f t="shared" si="51"/>
        <v>0.31246292576629137</v>
      </c>
    </row>
    <row r="44" spans="1:17" ht="72.75" customHeight="1" thickBot="1" x14ac:dyDescent="0.3">
      <c r="A44" s="90"/>
      <c r="B44" s="97" t="s">
        <v>42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9"/>
    </row>
  </sheetData>
  <mergeCells count="19">
    <mergeCell ref="N3:Q3"/>
    <mergeCell ref="A38:A44"/>
    <mergeCell ref="B44:Q44"/>
    <mergeCell ref="B36:Q36"/>
    <mergeCell ref="A30:A36"/>
    <mergeCell ref="A22:A28"/>
    <mergeCell ref="B28:Q28"/>
    <mergeCell ref="C3:D3"/>
    <mergeCell ref="A2:Q2"/>
    <mergeCell ref="B18:Q18"/>
    <mergeCell ref="A5:A20"/>
    <mergeCell ref="B19:Q19"/>
    <mergeCell ref="B20:Q20"/>
    <mergeCell ref="B5:C5"/>
    <mergeCell ref="B6:C6"/>
    <mergeCell ref="F6:G6"/>
    <mergeCell ref="F5:G5"/>
    <mergeCell ref="J5:K5"/>
    <mergeCell ref="J6:K6"/>
  </mergeCells>
  <hyperlinks>
    <hyperlink ref="B6:C6" r:id="rId1" display="Network Hashrate (TH/s)" xr:uid="{ED38608C-B6EB-4854-B73B-38175C11D967}"/>
    <hyperlink ref="B5:C5" location="'Electricity Calculations'!A1" display="Electricity Cost (CAD/kWh)" xr:uid="{4298D6CF-2B26-45AB-B4CA-049297DBAF28}"/>
    <hyperlink ref="J5:K5" r:id="rId2" location=":~:text=Ethereum%20Average%20Block%20Time%20is,0.30%25%20from%20one%20year%20ago." tooltip="Link to ycharts.com to get average daily block time from etherscan API" display="Block Time (s)" xr:uid="{234C7120-0771-4A66-98A8-5E93AC8E1714}"/>
  </hyperlinks>
  <pageMargins left="0.7" right="0.7" top="0.75" bottom="0.75" header="0.3" footer="0.3"/>
  <pageSetup scale="6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6"/>
  <sheetViews>
    <sheetView workbookViewId="0">
      <selection activeCell="F7" sqref="F7"/>
    </sheetView>
  </sheetViews>
  <sheetFormatPr defaultRowHeight="15" x14ac:dyDescent="0.25"/>
  <cols>
    <col min="1" max="1" width="15.28515625" bestFit="1" customWidth="1"/>
    <col min="2" max="2" width="12.42578125" bestFit="1" customWidth="1"/>
    <col min="3" max="3" width="16.42578125" bestFit="1" customWidth="1"/>
    <col min="4" max="4" width="16.7109375" bestFit="1" customWidth="1"/>
  </cols>
  <sheetData>
    <row r="1" spans="1:6" ht="15.75" thickBot="1" x14ac:dyDescent="0.3">
      <c r="A1" s="1"/>
      <c r="B1" s="1"/>
      <c r="D1" s="1"/>
    </row>
    <row r="2" spans="1:6" ht="30.75" customHeight="1" thickBot="1" x14ac:dyDescent="0.3">
      <c r="A2" s="9" t="s">
        <v>6</v>
      </c>
      <c r="B2" s="10" t="s">
        <v>5</v>
      </c>
      <c r="C2" s="11" t="s">
        <v>7</v>
      </c>
      <c r="D2" s="10" t="s">
        <v>8</v>
      </c>
      <c r="E2" s="3" t="s">
        <v>9</v>
      </c>
      <c r="F2" s="14" t="s">
        <v>10</v>
      </c>
    </row>
    <row r="3" spans="1:6" x14ac:dyDescent="0.25">
      <c r="A3" s="5" t="s">
        <v>2</v>
      </c>
      <c r="B3" s="6">
        <v>8.1999999999999993</v>
      </c>
      <c r="C3" s="12">
        <v>12</v>
      </c>
      <c r="D3" s="13">
        <v>24</v>
      </c>
      <c r="E3" s="15">
        <f>5*C3+2*D3</f>
        <v>108</v>
      </c>
      <c r="F3" s="16">
        <f>E3/SUM($E$3:$E$5)</f>
        <v>0.6428571428571429</v>
      </c>
    </row>
    <row r="4" spans="1:6" x14ac:dyDescent="0.25">
      <c r="A4" s="5" t="s">
        <v>3</v>
      </c>
      <c r="B4" s="6">
        <v>11.3</v>
      </c>
      <c r="C4" s="5">
        <v>6</v>
      </c>
      <c r="D4" s="6">
        <v>0</v>
      </c>
      <c r="E4" s="15">
        <f t="shared" ref="E4:E5" si="0">5*C4+2*D4</f>
        <v>30</v>
      </c>
      <c r="F4" s="16">
        <f t="shared" ref="F4:F5" si="1">E4/SUM($E$3:$E$5)</f>
        <v>0.17857142857142858</v>
      </c>
    </row>
    <row r="5" spans="1:6" ht="15.75" thickBot="1" x14ac:dyDescent="0.3">
      <c r="A5" s="7" t="s">
        <v>4</v>
      </c>
      <c r="B5" s="8">
        <v>17</v>
      </c>
      <c r="C5" s="7">
        <v>6</v>
      </c>
      <c r="D5" s="8">
        <v>0</v>
      </c>
      <c r="E5" s="17">
        <f t="shared" si="0"/>
        <v>30</v>
      </c>
      <c r="F5" s="18">
        <f t="shared" si="1"/>
        <v>0.17857142857142858</v>
      </c>
    </row>
    <row r="6" spans="1:6" ht="15.75" thickBot="1" x14ac:dyDescent="0.3">
      <c r="E6" s="19" t="s">
        <v>11</v>
      </c>
      <c r="F6" s="20">
        <f>SUMPRODUCT(F3:F5,B3:B5)</f>
        <v>10.324999999999999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workbookViewId="0">
      <selection activeCell="K14" sqref="K14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I1" t="s">
        <v>34</v>
      </c>
      <c r="J1" t="s">
        <v>25</v>
      </c>
    </row>
    <row r="2" spans="1:10" x14ac:dyDescent="0.25">
      <c r="A2" t="s">
        <v>30</v>
      </c>
      <c r="B2" s="21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31</v>
      </c>
      <c r="I2" s="2">
        <f>MAX(C878:C1332)</f>
        <v>1405.21</v>
      </c>
      <c r="J2" s="21">
        <v>43109</v>
      </c>
    </row>
    <row r="3" spans="1:10" x14ac:dyDescent="0.25">
      <c r="A3" t="s">
        <v>30</v>
      </c>
      <c r="B3" s="21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32</v>
      </c>
      <c r="I3" s="2">
        <f>MIN(C878:C1332)</f>
        <v>83.149241079000006</v>
      </c>
      <c r="J3" s="21">
        <v>43449</v>
      </c>
    </row>
    <row r="4" spans="1:10" x14ac:dyDescent="0.25">
      <c r="A4" t="s">
        <v>30</v>
      </c>
      <c r="B4" s="21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30</v>
      </c>
      <c r="B5" s="21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33</v>
      </c>
      <c r="J5" t="s">
        <v>35</v>
      </c>
    </row>
    <row r="6" spans="1:10" x14ac:dyDescent="0.25">
      <c r="A6" t="s">
        <v>30</v>
      </c>
      <c r="B6" s="21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30</v>
      </c>
      <c r="B7" s="21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30</v>
      </c>
      <c r="B8" s="21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30</v>
      </c>
      <c r="B9" s="21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30</v>
      </c>
      <c r="B10" s="21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30</v>
      </c>
      <c r="B11" s="21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30</v>
      </c>
      <c r="B12" s="21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30</v>
      </c>
      <c r="B13" s="21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30</v>
      </c>
      <c r="B14" s="21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30</v>
      </c>
      <c r="B15" s="21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30</v>
      </c>
      <c r="B16" s="21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30</v>
      </c>
      <c r="B17" s="21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30</v>
      </c>
      <c r="B18" s="21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30</v>
      </c>
      <c r="B19" s="21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30</v>
      </c>
      <c r="B20" s="21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30</v>
      </c>
      <c r="B21" s="21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30</v>
      </c>
      <c r="B22" s="21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30</v>
      </c>
      <c r="B23" s="21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30</v>
      </c>
      <c r="B24" s="21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30</v>
      </c>
      <c r="B25" s="21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30</v>
      </c>
      <c r="B26" s="21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30</v>
      </c>
      <c r="B27" s="21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30</v>
      </c>
      <c r="B28" s="21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30</v>
      </c>
      <c r="B29" s="21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30</v>
      </c>
      <c r="B30" s="21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30</v>
      </c>
      <c r="B31" s="21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30</v>
      </c>
      <c r="B32" s="21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30</v>
      </c>
      <c r="B33" s="21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30</v>
      </c>
      <c r="B34" s="21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30</v>
      </c>
      <c r="B35" s="21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30</v>
      </c>
      <c r="B36" s="21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30</v>
      </c>
      <c r="B37" s="21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30</v>
      </c>
      <c r="B38" s="21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30</v>
      </c>
      <c r="B39" s="21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30</v>
      </c>
      <c r="B40" s="21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30</v>
      </c>
      <c r="B41" s="21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30</v>
      </c>
      <c r="B42" s="21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30</v>
      </c>
      <c r="B43" s="21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30</v>
      </c>
      <c r="B44" s="21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30</v>
      </c>
      <c r="B45" s="21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30</v>
      </c>
      <c r="B46" s="21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30</v>
      </c>
      <c r="B47" s="21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30</v>
      </c>
      <c r="B48" s="21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30</v>
      </c>
      <c r="B49" s="21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30</v>
      </c>
      <c r="B50" s="21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30</v>
      </c>
      <c r="B51" s="21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30</v>
      </c>
      <c r="B52" s="21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30</v>
      </c>
      <c r="B53" s="21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30</v>
      </c>
      <c r="B54" s="21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30</v>
      </c>
      <c r="B55" s="21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30</v>
      </c>
      <c r="B56" s="21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30</v>
      </c>
      <c r="B57" s="21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30</v>
      </c>
      <c r="B58" s="21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30</v>
      </c>
      <c r="B59" s="21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30</v>
      </c>
      <c r="B60" s="21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30</v>
      </c>
      <c r="B61" s="21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30</v>
      </c>
      <c r="B62" s="21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30</v>
      </c>
      <c r="B63" s="21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30</v>
      </c>
      <c r="B64" s="21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30</v>
      </c>
      <c r="B65" s="21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30</v>
      </c>
      <c r="B66" s="21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30</v>
      </c>
      <c r="B67" s="21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30</v>
      </c>
      <c r="B68" s="21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30</v>
      </c>
      <c r="B69" s="21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30</v>
      </c>
      <c r="B70" s="21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30</v>
      </c>
      <c r="B71" s="21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30</v>
      </c>
      <c r="B72" s="21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30</v>
      </c>
      <c r="B73" s="21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30</v>
      </c>
      <c r="B74" s="21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30</v>
      </c>
      <c r="B75" s="21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30</v>
      </c>
      <c r="B76" s="21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30</v>
      </c>
      <c r="B77" s="21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30</v>
      </c>
      <c r="B78" s="21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30</v>
      </c>
      <c r="B79" s="21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30</v>
      </c>
      <c r="B80" s="21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30</v>
      </c>
      <c r="B81" s="21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30</v>
      </c>
      <c r="B82" s="21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30</v>
      </c>
      <c r="B83" s="21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30</v>
      </c>
      <c r="B84" s="21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30</v>
      </c>
      <c r="B85" s="21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30</v>
      </c>
      <c r="B86" s="21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30</v>
      </c>
      <c r="B87" s="21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30</v>
      </c>
      <c r="B88" s="21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30</v>
      </c>
      <c r="B89" s="21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30</v>
      </c>
      <c r="B90" s="21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30</v>
      </c>
      <c r="B91" s="21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30</v>
      </c>
      <c r="B92" s="21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30</v>
      </c>
      <c r="B93" s="21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30</v>
      </c>
      <c r="B94" s="21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30</v>
      </c>
      <c r="B95" s="21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30</v>
      </c>
      <c r="B96" s="21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30</v>
      </c>
      <c r="B97" s="21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30</v>
      </c>
      <c r="B98" s="21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30</v>
      </c>
      <c r="B99" s="21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30</v>
      </c>
      <c r="B100" s="21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30</v>
      </c>
      <c r="B101" s="21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30</v>
      </c>
      <c r="B102" s="21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30</v>
      </c>
      <c r="B103" s="21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30</v>
      </c>
      <c r="B104" s="21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30</v>
      </c>
      <c r="B105" s="21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30</v>
      </c>
      <c r="B106" s="21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30</v>
      </c>
      <c r="B107" s="21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30</v>
      </c>
      <c r="B108" s="21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30</v>
      </c>
      <c r="B109" s="21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30</v>
      </c>
      <c r="B110" s="21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30</v>
      </c>
      <c r="B111" s="21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30</v>
      </c>
      <c r="B112" s="21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30</v>
      </c>
      <c r="B113" s="21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30</v>
      </c>
      <c r="B114" s="21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30</v>
      </c>
      <c r="B115" s="21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30</v>
      </c>
      <c r="B116" s="21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30</v>
      </c>
      <c r="B117" s="21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30</v>
      </c>
      <c r="B118" s="21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30</v>
      </c>
      <c r="B119" s="21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30</v>
      </c>
      <c r="B120" s="21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30</v>
      </c>
      <c r="B121" s="21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30</v>
      </c>
      <c r="B122" s="21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30</v>
      </c>
      <c r="B123" s="21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30</v>
      </c>
      <c r="B124" s="21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30</v>
      </c>
      <c r="B125" s="21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30</v>
      </c>
      <c r="B126" s="21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30</v>
      </c>
      <c r="B127" s="21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30</v>
      </c>
      <c r="B128" s="21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30</v>
      </c>
      <c r="B129" s="21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30</v>
      </c>
      <c r="B130" s="21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30</v>
      </c>
      <c r="B131" s="21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30</v>
      </c>
      <c r="B132" s="21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30</v>
      </c>
      <c r="B133" s="21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30</v>
      </c>
      <c r="B134" s="21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30</v>
      </c>
      <c r="B135" s="21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30</v>
      </c>
      <c r="B136" s="21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30</v>
      </c>
      <c r="B137" s="21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30</v>
      </c>
      <c r="B138" s="21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30</v>
      </c>
      <c r="B139" s="21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30</v>
      </c>
      <c r="B140" s="21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30</v>
      </c>
      <c r="B141" s="21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30</v>
      </c>
      <c r="B142" s="21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30</v>
      </c>
      <c r="B143" s="21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30</v>
      </c>
      <c r="B144" s="21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30</v>
      </c>
      <c r="B145" s="21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30</v>
      </c>
      <c r="B146" s="21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30</v>
      </c>
      <c r="B147" s="21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30</v>
      </c>
      <c r="B148" s="21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30</v>
      </c>
      <c r="B149" s="21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30</v>
      </c>
      <c r="B150" s="21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30</v>
      </c>
      <c r="B151" s="21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30</v>
      </c>
      <c r="B152" s="21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30</v>
      </c>
      <c r="B153" s="21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30</v>
      </c>
      <c r="B154" s="21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30</v>
      </c>
      <c r="B155" s="21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30</v>
      </c>
      <c r="B156" s="21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30</v>
      </c>
      <c r="B157" s="21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30</v>
      </c>
      <c r="B158" s="21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30</v>
      </c>
      <c r="B159" s="21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30</v>
      </c>
      <c r="B160" s="21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30</v>
      </c>
      <c r="B161" s="21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30</v>
      </c>
      <c r="B162" s="21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30</v>
      </c>
      <c r="B163" s="21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30</v>
      </c>
      <c r="B164" s="21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30</v>
      </c>
      <c r="B165" s="21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30</v>
      </c>
      <c r="B166" s="21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30</v>
      </c>
      <c r="B167" s="21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30</v>
      </c>
      <c r="B168" s="21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30</v>
      </c>
      <c r="B169" s="21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30</v>
      </c>
      <c r="B170" s="21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30</v>
      </c>
      <c r="B171" s="21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30</v>
      </c>
      <c r="B172" s="21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30</v>
      </c>
      <c r="B173" s="21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30</v>
      </c>
      <c r="B174" s="21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30</v>
      </c>
      <c r="B175" s="21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30</v>
      </c>
      <c r="B176" s="21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30</v>
      </c>
      <c r="B177" s="21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30</v>
      </c>
      <c r="B178" s="21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30</v>
      </c>
      <c r="B179" s="21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30</v>
      </c>
      <c r="B180" s="21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30</v>
      </c>
      <c r="B181" s="21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30</v>
      </c>
      <c r="B182" s="21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30</v>
      </c>
      <c r="B183" s="21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30</v>
      </c>
      <c r="B184" s="21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30</v>
      </c>
      <c r="B185" s="21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30</v>
      </c>
      <c r="B186" s="21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30</v>
      </c>
      <c r="B187" s="21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30</v>
      </c>
      <c r="B188" s="21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30</v>
      </c>
      <c r="B189" s="21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30</v>
      </c>
      <c r="B190" s="21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30</v>
      </c>
      <c r="B191" s="21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30</v>
      </c>
      <c r="B192" s="21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30</v>
      </c>
      <c r="B193" s="21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30</v>
      </c>
      <c r="B194" s="21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30</v>
      </c>
      <c r="B195" s="21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30</v>
      </c>
      <c r="B196" s="21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30</v>
      </c>
      <c r="B197" s="21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30</v>
      </c>
      <c r="B198" s="21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30</v>
      </c>
      <c r="B199" s="21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30</v>
      </c>
      <c r="B200" s="21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30</v>
      </c>
      <c r="B201" s="21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30</v>
      </c>
      <c r="B202" s="21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30</v>
      </c>
      <c r="B203" s="21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30</v>
      </c>
      <c r="B204" s="21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30</v>
      </c>
      <c r="B205" s="21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30</v>
      </c>
      <c r="B206" s="21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30</v>
      </c>
      <c r="B207" s="21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30</v>
      </c>
      <c r="B208" s="21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30</v>
      </c>
      <c r="B209" s="21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30</v>
      </c>
      <c r="B210" s="21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30</v>
      </c>
      <c r="B211" s="21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30</v>
      </c>
      <c r="B212" s="21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30</v>
      </c>
      <c r="B213" s="21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30</v>
      </c>
      <c r="B214" s="21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30</v>
      </c>
      <c r="B215" s="21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30</v>
      </c>
      <c r="B216" s="21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30</v>
      </c>
      <c r="B217" s="21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30</v>
      </c>
      <c r="B218" s="21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30</v>
      </c>
      <c r="B219" s="21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30</v>
      </c>
      <c r="B220" s="21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30</v>
      </c>
      <c r="B221" s="21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30</v>
      </c>
      <c r="B222" s="21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30</v>
      </c>
      <c r="B223" s="21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30</v>
      </c>
      <c r="B224" s="21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30</v>
      </c>
      <c r="B225" s="21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30</v>
      </c>
      <c r="B226" s="21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30</v>
      </c>
      <c r="B227" s="21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30</v>
      </c>
      <c r="B228" s="21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30</v>
      </c>
      <c r="B229" s="21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30</v>
      </c>
      <c r="B230" s="21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30</v>
      </c>
      <c r="B231" s="21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30</v>
      </c>
      <c r="B232" s="21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30</v>
      </c>
      <c r="B233" s="21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30</v>
      </c>
      <c r="B234" s="21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30</v>
      </c>
      <c r="B235" s="21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30</v>
      </c>
      <c r="B236" s="21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30</v>
      </c>
      <c r="B237" s="21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30</v>
      </c>
      <c r="B238" s="21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30</v>
      </c>
      <c r="B239" s="21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30</v>
      </c>
      <c r="B240" s="21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30</v>
      </c>
      <c r="B241" s="21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30</v>
      </c>
      <c r="B242" s="21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30</v>
      </c>
      <c r="B243" s="21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30</v>
      </c>
      <c r="B244" s="21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30</v>
      </c>
      <c r="B245" s="21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30</v>
      </c>
      <c r="B246" s="21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30</v>
      </c>
      <c r="B247" s="21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30</v>
      </c>
      <c r="B248" s="21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30</v>
      </c>
      <c r="B249" s="21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30</v>
      </c>
      <c r="B250" s="21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30</v>
      </c>
      <c r="B251" s="21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30</v>
      </c>
      <c r="B252" s="21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30</v>
      </c>
      <c r="B253" s="21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30</v>
      </c>
      <c r="B254" s="21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30</v>
      </c>
      <c r="B255" s="21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30</v>
      </c>
      <c r="B256" s="21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30</v>
      </c>
      <c r="B257" s="21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30</v>
      </c>
      <c r="B258" s="21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30</v>
      </c>
      <c r="B259" s="21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30</v>
      </c>
      <c r="B260" s="21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30</v>
      </c>
      <c r="B261" s="21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30</v>
      </c>
      <c r="B262" s="21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30</v>
      </c>
      <c r="B263" s="21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30</v>
      </c>
      <c r="B264" s="21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30</v>
      </c>
      <c r="B265" s="21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30</v>
      </c>
      <c r="B266" s="21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30</v>
      </c>
      <c r="B267" s="21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30</v>
      </c>
      <c r="B268" s="21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30</v>
      </c>
      <c r="B269" s="21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30</v>
      </c>
      <c r="B270" s="21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30</v>
      </c>
      <c r="B271" s="21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30</v>
      </c>
      <c r="B272" s="21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30</v>
      </c>
      <c r="B273" s="21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30</v>
      </c>
      <c r="B274" s="21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30</v>
      </c>
      <c r="B275" s="21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30</v>
      </c>
      <c r="B276" s="21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30</v>
      </c>
      <c r="B277" s="21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30</v>
      </c>
      <c r="B278" s="21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30</v>
      </c>
      <c r="B279" s="21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30</v>
      </c>
      <c r="B280" s="21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30</v>
      </c>
      <c r="B281" s="21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30</v>
      </c>
      <c r="B282" s="21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30</v>
      </c>
      <c r="B283" s="21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30</v>
      </c>
      <c r="B284" s="21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30</v>
      </c>
      <c r="B285" s="21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30</v>
      </c>
      <c r="B286" s="21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30</v>
      </c>
      <c r="B287" s="21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30</v>
      </c>
      <c r="B288" s="21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30</v>
      </c>
      <c r="B289" s="21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30</v>
      </c>
      <c r="B290" s="21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30</v>
      </c>
      <c r="B291" s="21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30</v>
      </c>
      <c r="B292" s="21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30</v>
      </c>
      <c r="B293" s="21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30</v>
      </c>
      <c r="B294" s="21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30</v>
      </c>
      <c r="B295" s="21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30</v>
      </c>
      <c r="B296" s="21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30</v>
      </c>
      <c r="B297" s="21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30</v>
      </c>
      <c r="B298" s="21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30</v>
      </c>
      <c r="B299" s="21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30</v>
      </c>
      <c r="B300" s="21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30</v>
      </c>
      <c r="B301" s="21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30</v>
      </c>
      <c r="B302" s="21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30</v>
      </c>
      <c r="B303" s="21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30</v>
      </c>
      <c r="B304" s="21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30</v>
      </c>
      <c r="B305" s="21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30</v>
      </c>
      <c r="B306" s="21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30</v>
      </c>
      <c r="B307" s="21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30</v>
      </c>
      <c r="B308" s="21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30</v>
      </c>
      <c r="B309" s="21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30</v>
      </c>
      <c r="B310" s="21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30</v>
      </c>
      <c r="B311" s="21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30</v>
      </c>
      <c r="B312" s="21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30</v>
      </c>
      <c r="B313" s="21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30</v>
      </c>
      <c r="B314" s="21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30</v>
      </c>
      <c r="B315" s="21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30</v>
      </c>
      <c r="B316" s="21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30</v>
      </c>
      <c r="B317" s="21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30</v>
      </c>
      <c r="B318" s="21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30</v>
      </c>
      <c r="B319" s="21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30</v>
      </c>
      <c r="B320" s="21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30</v>
      </c>
      <c r="B321" s="21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30</v>
      </c>
      <c r="B322" s="21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30</v>
      </c>
      <c r="B323" s="21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30</v>
      </c>
      <c r="B324" s="21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30</v>
      </c>
      <c r="B325" s="21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30</v>
      </c>
      <c r="B326" s="21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30</v>
      </c>
      <c r="B327" s="21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30</v>
      </c>
      <c r="B328" s="21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30</v>
      </c>
      <c r="B329" s="21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30</v>
      </c>
      <c r="B330" s="21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30</v>
      </c>
      <c r="B331" s="21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30</v>
      </c>
      <c r="B332" s="21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30</v>
      </c>
      <c r="B333" s="21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30</v>
      </c>
      <c r="B334" s="21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30</v>
      </c>
      <c r="B335" s="21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30</v>
      </c>
      <c r="B336" s="21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30</v>
      </c>
      <c r="B337" s="21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30</v>
      </c>
      <c r="B338" s="21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30</v>
      </c>
      <c r="B339" s="21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30</v>
      </c>
      <c r="B340" s="21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30</v>
      </c>
      <c r="B341" s="21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30</v>
      </c>
      <c r="B342" s="21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30</v>
      </c>
      <c r="B343" s="21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30</v>
      </c>
      <c r="B344" s="21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30</v>
      </c>
      <c r="B345" s="21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30</v>
      </c>
      <c r="B346" s="21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30</v>
      </c>
      <c r="B347" s="21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30</v>
      </c>
      <c r="B348" s="21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30</v>
      </c>
      <c r="B349" s="21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30</v>
      </c>
      <c r="B350" s="21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30</v>
      </c>
      <c r="B351" s="21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30</v>
      </c>
      <c r="B352" s="21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30</v>
      </c>
      <c r="B353" s="21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30</v>
      </c>
      <c r="B354" s="21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30</v>
      </c>
      <c r="B355" s="21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30</v>
      </c>
      <c r="B356" s="21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30</v>
      </c>
      <c r="B357" s="21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30</v>
      </c>
      <c r="B358" s="21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30</v>
      </c>
      <c r="B359" s="21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30</v>
      </c>
      <c r="B360" s="21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30</v>
      </c>
      <c r="B361" s="21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30</v>
      </c>
      <c r="B362" s="21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30</v>
      </c>
      <c r="B363" s="21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30</v>
      </c>
      <c r="B364" s="21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30</v>
      </c>
      <c r="B365" s="21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30</v>
      </c>
      <c r="B366" s="21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30</v>
      </c>
      <c r="B367" s="21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30</v>
      </c>
      <c r="B368" s="21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30</v>
      </c>
      <c r="B369" s="21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30</v>
      </c>
      <c r="B370" s="21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30</v>
      </c>
      <c r="B371" s="21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30</v>
      </c>
      <c r="B372" s="21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30</v>
      </c>
      <c r="B373" s="21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30</v>
      </c>
      <c r="B374" s="21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30</v>
      </c>
      <c r="B375" s="21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30</v>
      </c>
      <c r="B376" s="21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30</v>
      </c>
      <c r="B377" s="21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30</v>
      </c>
      <c r="B378" s="21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30</v>
      </c>
      <c r="B379" s="21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30</v>
      </c>
      <c r="B380" s="21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30</v>
      </c>
      <c r="B381" s="21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30</v>
      </c>
      <c r="B382" s="21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30</v>
      </c>
      <c r="B383" s="21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30</v>
      </c>
      <c r="B384" s="21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30</v>
      </c>
      <c r="B385" s="21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30</v>
      </c>
      <c r="B386" s="21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30</v>
      </c>
      <c r="B387" s="21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30</v>
      </c>
      <c r="B388" s="21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30</v>
      </c>
      <c r="B389" s="21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30</v>
      </c>
      <c r="B390" s="21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30</v>
      </c>
      <c r="B391" s="21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30</v>
      </c>
      <c r="B392" s="21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30</v>
      </c>
      <c r="B393" s="21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30</v>
      </c>
      <c r="B394" s="21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30</v>
      </c>
      <c r="B395" s="21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30</v>
      </c>
      <c r="B396" s="21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30</v>
      </c>
      <c r="B397" s="21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30</v>
      </c>
      <c r="B398" s="21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30</v>
      </c>
      <c r="B399" s="21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30</v>
      </c>
      <c r="B400" s="21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30</v>
      </c>
      <c r="B401" s="21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30</v>
      </c>
      <c r="B402" s="21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30</v>
      </c>
      <c r="B403" s="21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30</v>
      </c>
      <c r="B404" s="21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30</v>
      </c>
      <c r="B405" s="21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30</v>
      </c>
      <c r="B406" s="21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30</v>
      </c>
      <c r="B407" s="21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30</v>
      </c>
      <c r="B408" s="21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30</v>
      </c>
      <c r="B409" s="21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30</v>
      </c>
      <c r="B410" s="21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30</v>
      </c>
      <c r="B411" s="21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30</v>
      </c>
      <c r="B412" s="21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30</v>
      </c>
      <c r="B413" s="21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30</v>
      </c>
      <c r="B414" s="21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30</v>
      </c>
      <c r="B415" s="21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30</v>
      </c>
      <c r="B416" s="21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30</v>
      </c>
      <c r="B417" s="21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30</v>
      </c>
      <c r="B418" s="21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30</v>
      </c>
      <c r="B419" s="21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30</v>
      </c>
      <c r="B420" s="21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30</v>
      </c>
      <c r="B421" s="21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30</v>
      </c>
      <c r="B422" s="21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30</v>
      </c>
      <c r="B423" s="21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30</v>
      </c>
      <c r="B424" s="21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30</v>
      </c>
      <c r="B425" s="21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30</v>
      </c>
      <c r="B426" s="21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30</v>
      </c>
      <c r="B427" s="21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30</v>
      </c>
      <c r="B428" s="21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30</v>
      </c>
      <c r="B429" s="21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30</v>
      </c>
      <c r="B430" s="21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30</v>
      </c>
      <c r="B431" s="21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30</v>
      </c>
      <c r="B432" s="21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30</v>
      </c>
      <c r="B433" s="21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30</v>
      </c>
      <c r="B434" s="21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30</v>
      </c>
      <c r="B435" s="21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30</v>
      </c>
      <c r="B436" s="21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30</v>
      </c>
      <c r="B437" s="21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30</v>
      </c>
      <c r="B438" s="21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30</v>
      </c>
      <c r="B439" s="21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30</v>
      </c>
      <c r="B440" s="21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30</v>
      </c>
      <c r="B441" s="21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30</v>
      </c>
      <c r="B442" s="21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30</v>
      </c>
      <c r="B443" s="21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30</v>
      </c>
      <c r="B444" s="21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30</v>
      </c>
      <c r="B445" s="21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30</v>
      </c>
      <c r="B446" s="21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30</v>
      </c>
      <c r="B447" s="21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30</v>
      </c>
      <c r="B448" s="21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30</v>
      </c>
      <c r="B449" s="21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30</v>
      </c>
      <c r="B450" s="21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30</v>
      </c>
      <c r="B451" s="21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30</v>
      </c>
      <c r="B452" s="21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30</v>
      </c>
      <c r="B453" s="21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30</v>
      </c>
      <c r="B454" s="21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30</v>
      </c>
      <c r="B455" s="21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30</v>
      </c>
      <c r="B456" s="21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30</v>
      </c>
      <c r="B457" s="21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30</v>
      </c>
      <c r="B458" s="21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30</v>
      </c>
      <c r="B459" s="21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30</v>
      </c>
      <c r="B460" s="21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30</v>
      </c>
      <c r="B461" s="21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30</v>
      </c>
      <c r="B462" s="21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30</v>
      </c>
      <c r="B463" s="21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30</v>
      </c>
      <c r="B464" s="21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30</v>
      </c>
      <c r="B465" s="21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30</v>
      </c>
      <c r="B466" s="21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30</v>
      </c>
      <c r="B467" s="21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30</v>
      </c>
      <c r="B468" s="21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30</v>
      </c>
      <c r="B469" s="21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30</v>
      </c>
      <c r="B470" s="21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30</v>
      </c>
      <c r="B471" s="21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30</v>
      </c>
      <c r="B472" s="21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30</v>
      </c>
      <c r="B473" s="21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30</v>
      </c>
      <c r="B474" s="21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30</v>
      </c>
      <c r="B475" s="21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30</v>
      </c>
      <c r="B476" s="21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30</v>
      </c>
      <c r="B477" s="21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30</v>
      </c>
      <c r="B478" s="21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30</v>
      </c>
      <c r="B479" s="21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30</v>
      </c>
      <c r="B480" s="21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30</v>
      </c>
      <c r="B481" s="21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30</v>
      </c>
      <c r="B482" s="21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30</v>
      </c>
      <c r="B483" s="21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30</v>
      </c>
      <c r="B484" s="21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30</v>
      </c>
      <c r="B485" s="21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30</v>
      </c>
      <c r="B486" s="21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30</v>
      </c>
      <c r="B487" s="21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30</v>
      </c>
      <c r="B488" s="21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30</v>
      </c>
      <c r="B489" s="21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30</v>
      </c>
      <c r="B490" s="21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30</v>
      </c>
      <c r="B491" s="21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30</v>
      </c>
      <c r="B492" s="21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30</v>
      </c>
      <c r="B493" s="21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30</v>
      </c>
      <c r="B494" s="21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30</v>
      </c>
      <c r="B495" s="21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30</v>
      </c>
      <c r="B496" s="21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30</v>
      </c>
      <c r="B497" s="21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30</v>
      </c>
      <c r="B498" s="21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30</v>
      </c>
      <c r="B499" s="21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30</v>
      </c>
      <c r="B500" s="21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30</v>
      </c>
      <c r="B501" s="21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30</v>
      </c>
      <c r="B502" s="21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30</v>
      </c>
      <c r="B503" s="21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30</v>
      </c>
      <c r="B504" s="21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30</v>
      </c>
      <c r="B505" s="21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30</v>
      </c>
      <c r="B506" s="21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30</v>
      </c>
      <c r="B507" s="21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30</v>
      </c>
      <c r="B508" s="21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30</v>
      </c>
      <c r="B509" s="21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30</v>
      </c>
      <c r="B510" s="21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30</v>
      </c>
      <c r="B511" s="21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30</v>
      </c>
      <c r="B512" s="21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30</v>
      </c>
      <c r="B513" s="21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30</v>
      </c>
      <c r="B514" s="21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30</v>
      </c>
      <c r="B515" s="21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30</v>
      </c>
      <c r="B516" s="21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30</v>
      </c>
      <c r="B517" s="21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30</v>
      </c>
      <c r="B518" s="21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30</v>
      </c>
      <c r="B519" s="21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30</v>
      </c>
      <c r="B520" s="21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30</v>
      </c>
      <c r="B521" s="21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30</v>
      </c>
      <c r="B522" s="21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30</v>
      </c>
      <c r="B523" s="21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30</v>
      </c>
      <c r="B524" s="21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30</v>
      </c>
      <c r="B525" s="21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30</v>
      </c>
      <c r="B526" s="21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30</v>
      </c>
      <c r="B527" s="21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30</v>
      </c>
      <c r="B528" s="21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30</v>
      </c>
      <c r="B529" s="21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30</v>
      </c>
      <c r="B530" s="21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30</v>
      </c>
      <c r="B531" s="21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30</v>
      </c>
      <c r="B532" s="21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30</v>
      </c>
      <c r="B533" s="21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30</v>
      </c>
      <c r="B534" s="21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30</v>
      </c>
      <c r="B535" s="21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30</v>
      </c>
      <c r="B536" s="21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30</v>
      </c>
      <c r="B537" s="21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30</v>
      </c>
      <c r="B538" s="21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30</v>
      </c>
      <c r="B539" s="21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30</v>
      </c>
      <c r="B540" s="21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30</v>
      </c>
      <c r="B541" s="21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30</v>
      </c>
      <c r="B542" s="21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30</v>
      </c>
      <c r="B543" s="21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30</v>
      </c>
      <c r="B544" s="21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30</v>
      </c>
      <c r="B545" s="21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30</v>
      </c>
      <c r="B546" s="21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30</v>
      </c>
      <c r="B547" s="21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30</v>
      </c>
      <c r="B548" s="21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30</v>
      </c>
      <c r="B549" s="21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30</v>
      </c>
      <c r="B550" s="21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30</v>
      </c>
      <c r="B551" s="21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30</v>
      </c>
      <c r="B552" s="21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30</v>
      </c>
      <c r="B553" s="21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30</v>
      </c>
      <c r="B554" s="21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30</v>
      </c>
      <c r="B555" s="21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30</v>
      </c>
      <c r="B556" s="21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30</v>
      </c>
      <c r="B557" s="21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30</v>
      </c>
      <c r="B558" s="21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30</v>
      </c>
      <c r="B559" s="21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30</v>
      </c>
      <c r="B560" s="21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30</v>
      </c>
      <c r="B561" s="21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30</v>
      </c>
      <c r="B562" s="21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30</v>
      </c>
      <c r="B563" s="21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30</v>
      </c>
      <c r="B564" s="21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30</v>
      </c>
      <c r="B565" s="21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30</v>
      </c>
      <c r="B566" s="21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30</v>
      </c>
      <c r="B567" s="21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30</v>
      </c>
      <c r="B568" s="21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30</v>
      </c>
      <c r="B569" s="21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30</v>
      </c>
      <c r="B570" s="21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30</v>
      </c>
      <c r="B571" s="21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30</v>
      </c>
      <c r="B572" s="21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30</v>
      </c>
      <c r="B573" s="21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30</v>
      </c>
      <c r="B574" s="21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30</v>
      </c>
      <c r="B575" s="21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30</v>
      </c>
      <c r="B576" s="21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30</v>
      </c>
      <c r="B577" s="21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30</v>
      </c>
      <c r="B578" s="21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30</v>
      </c>
      <c r="B579" s="21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30</v>
      </c>
      <c r="B580" s="21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30</v>
      </c>
      <c r="B581" s="21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30</v>
      </c>
      <c r="B582" s="21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30</v>
      </c>
      <c r="B583" s="21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30</v>
      </c>
      <c r="B584" s="21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30</v>
      </c>
      <c r="B585" s="21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30</v>
      </c>
      <c r="B586" s="21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30</v>
      </c>
      <c r="B587" s="21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30</v>
      </c>
      <c r="B588" s="21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30</v>
      </c>
      <c r="B589" s="21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30</v>
      </c>
      <c r="B590" s="21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30</v>
      </c>
      <c r="B591" s="21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30</v>
      </c>
      <c r="B592" s="21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30</v>
      </c>
      <c r="B593" s="21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30</v>
      </c>
      <c r="B594" s="21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30</v>
      </c>
      <c r="B595" s="21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30</v>
      </c>
      <c r="B596" s="21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30</v>
      </c>
      <c r="B597" s="21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30</v>
      </c>
      <c r="B598" s="21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30</v>
      </c>
      <c r="B599" s="21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30</v>
      </c>
      <c r="B600" s="21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30</v>
      </c>
      <c r="B601" s="21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30</v>
      </c>
      <c r="B602" s="21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30</v>
      </c>
      <c r="B603" s="21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30</v>
      </c>
      <c r="B604" s="21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30</v>
      </c>
      <c r="B605" s="21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30</v>
      </c>
      <c r="B606" s="21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30</v>
      </c>
      <c r="B607" s="21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30</v>
      </c>
      <c r="B608" s="21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30</v>
      </c>
      <c r="B609" s="21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30</v>
      </c>
      <c r="B610" s="21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30</v>
      </c>
      <c r="B611" s="21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30</v>
      </c>
      <c r="B612" s="21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30</v>
      </c>
      <c r="B613" s="21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30</v>
      </c>
      <c r="B614" s="21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30</v>
      </c>
      <c r="B615" s="21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30</v>
      </c>
      <c r="B616" s="21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30</v>
      </c>
      <c r="B617" s="21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30</v>
      </c>
      <c r="B618" s="21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30</v>
      </c>
      <c r="B619" s="21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30</v>
      </c>
      <c r="B620" s="21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30</v>
      </c>
      <c r="B621" s="21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30</v>
      </c>
      <c r="B622" s="21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30</v>
      </c>
      <c r="B623" s="21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30</v>
      </c>
      <c r="B624" s="21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30</v>
      </c>
      <c r="B625" s="21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30</v>
      </c>
      <c r="B626" s="21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30</v>
      </c>
      <c r="B627" s="21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30</v>
      </c>
      <c r="B628" s="21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30</v>
      </c>
      <c r="B629" s="21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30</v>
      </c>
      <c r="B630" s="21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30</v>
      </c>
      <c r="B631" s="21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30</v>
      </c>
      <c r="B632" s="21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30</v>
      </c>
      <c r="B633" s="21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30</v>
      </c>
      <c r="B634" s="21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30</v>
      </c>
      <c r="B635" s="21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30</v>
      </c>
      <c r="B636" s="21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30</v>
      </c>
      <c r="B637" s="21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30</v>
      </c>
      <c r="B638" s="21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30</v>
      </c>
      <c r="B639" s="21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30</v>
      </c>
      <c r="B640" s="21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30</v>
      </c>
      <c r="B641" s="21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30</v>
      </c>
      <c r="B642" s="21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30</v>
      </c>
      <c r="B643" s="21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30</v>
      </c>
      <c r="B644" s="21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30</v>
      </c>
      <c r="B645" s="21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30</v>
      </c>
      <c r="B646" s="21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30</v>
      </c>
      <c r="B647" s="21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30</v>
      </c>
      <c r="B648" s="21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30</v>
      </c>
      <c r="B649" s="21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30</v>
      </c>
      <c r="B650" s="21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30</v>
      </c>
      <c r="B651" s="21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30</v>
      </c>
      <c r="B652" s="21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30</v>
      </c>
      <c r="B653" s="21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30</v>
      </c>
      <c r="B654" s="21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30</v>
      </c>
      <c r="B655" s="21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30</v>
      </c>
      <c r="B656" s="21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30</v>
      </c>
      <c r="B657" s="21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30</v>
      </c>
      <c r="B658" s="21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30</v>
      </c>
      <c r="B659" s="21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30</v>
      </c>
      <c r="B660" s="21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30</v>
      </c>
      <c r="B661" s="21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30</v>
      </c>
      <c r="B662" s="21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30</v>
      </c>
      <c r="B663" s="21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30</v>
      </c>
      <c r="B664" s="21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30</v>
      </c>
      <c r="B665" s="21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30</v>
      </c>
      <c r="B666" s="21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30</v>
      </c>
      <c r="B667" s="21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30</v>
      </c>
      <c r="B668" s="21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30</v>
      </c>
      <c r="B669" s="21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30</v>
      </c>
      <c r="B670" s="21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30</v>
      </c>
      <c r="B671" s="21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30</v>
      </c>
      <c r="B672" s="21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30</v>
      </c>
      <c r="B673" s="21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30</v>
      </c>
      <c r="B674" s="21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30</v>
      </c>
      <c r="B675" s="21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30</v>
      </c>
      <c r="B676" s="21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30</v>
      </c>
      <c r="B677" s="21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30</v>
      </c>
      <c r="B678" s="21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30</v>
      </c>
      <c r="B679" s="21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30</v>
      </c>
      <c r="B680" s="21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30</v>
      </c>
      <c r="B681" s="21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30</v>
      </c>
      <c r="B682" s="21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30</v>
      </c>
      <c r="B683" s="21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30</v>
      </c>
      <c r="B684" s="21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30</v>
      </c>
      <c r="B685" s="21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30</v>
      </c>
      <c r="B686" s="21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30</v>
      </c>
      <c r="B687" s="21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30</v>
      </c>
      <c r="B688" s="21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30</v>
      </c>
      <c r="B689" s="21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30</v>
      </c>
      <c r="B690" s="21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30</v>
      </c>
      <c r="B691" s="21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30</v>
      </c>
      <c r="B692" s="21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30</v>
      </c>
      <c r="B693" s="21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30</v>
      </c>
      <c r="B694" s="21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30</v>
      </c>
      <c r="B695" s="21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30</v>
      </c>
      <c r="B696" s="21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30</v>
      </c>
      <c r="B697" s="21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30</v>
      </c>
      <c r="B698" s="21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30</v>
      </c>
      <c r="B699" s="21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30</v>
      </c>
      <c r="B700" s="21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30</v>
      </c>
      <c r="B701" s="21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30</v>
      </c>
      <c r="B702" s="21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30</v>
      </c>
      <c r="B703" s="21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30</v>
      </c>
      <c r="B704" s="21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30</v>
      </c>
      <c r="B705" s="21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30</v>
      </c>
      <c r="B706" s="21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30</v>
      </c>
      <c r="B707" s="21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30</v>
      </c>
      <c r="B708" s="21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30</v>
      </c>
      <c r="B709" s="21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30</v>
      </c>
      <c r="B710" s="21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30</v>
      </c>
      <c r="B711" s="21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30</v>
      </c>
      <c r="B712" s="21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30</v>
      </c>
      <c r="B713" s="21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30</v>
      </c>
      <c r="B714" s="21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30</v>
      </c>
      <c r="B715" s="21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30</v>
      </c>
      <c r="B716" s="21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30</v>
      </c>
      <c r="B717" s="21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30</v>
      </c>
      <c r="B718" s="21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30</v>
      </c>
      <c r="B719" s="21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30</v>
      </c>
      <c r="B720" s="21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30</v>
      </c>
      <c r="B721" s="21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30</v>
      </c>
      <c r="B722" s="21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30</v>
      </c>
      <c r="B723" s="21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30</v>
      </c>
      <c r="B724" s="21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30</v>
      </c>
      <c r="B725" s="21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30</v>
      </c>
      <c r="B726" s="21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30</v>
      </c>
      <c r="B727" s="21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30</v>
      </c>
      <c r="B728" s="21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30</v>
      </c>
      <c r="B729" s="21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30</v>
      </c>
      <c r="B730" s="21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30</v>
      </c>
      <c r="B731" s="21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30</v>
      </c>
      <c r="B732" s="21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30</v>
      </c>
      <c r="B733" s="21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30</v>
      </c>
      <c r="B734" s="21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30</v>
      </c>
      <c r="B735" s="21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30</v>
      </c>
      <c r="B736" s="21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30</v>
      </c>
      <c r="B737" s="21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30</v>
      </c>
      <c r="B738" s="21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30</v>
      </c>
      <c r="B739" s="21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30</v>
      </c>
      <c r="B740" s="21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30</v>
      </c>
      <c r="B741" s="21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30</v>
      </c>
      <c r="B742" s="21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30</v>
      </c>
      <c r="B743" s="21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30</v>
      </c>
      <c r="B744" s="21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30</v>
      </c>
      <c r="B745" s="21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30</v>
      </c>
      <c r="B746" s="21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30</v>
      </c>
      <c r="B747" s="21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30</v>
      </c>
      <c r="B748" s="21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30</v>
      </c>
      <c r="B749" s="21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30</v>
      </c>
      <c r="B750" s="21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30</v>
      </c>
      <c r="B751" s="21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30</v>
      </c>
      <c r="B752" s="21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30</v>
      </c>
      <c r="B753" s="21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30</v>
      </c>
      <c r="B754" s="21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30</v>
      </c>
      <c r="B755" s="21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30</v>
      </c>
      <c r="B756" s="21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30</v>
      </c>
      <c r="B757" s="21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30</v>
      </c>
      <c r="B758" s="21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30</v>
      </c>
      <c r="B759" s="21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30</v>
      </c>
      <c r="B760" s="21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30</v>
      </c>
      <c r="B761" s="21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30</v>
      </c>
      <c r="B762" s="21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30</v>
      </c>
      <c r="B763" s="21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30</v>
      </c>
      <c r="B764" s="21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30</v>
      </c>
      <c r="B765" s="21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30</v>
      </c>
      <c r="B766" s="21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30</v>
      </c>
      <c r="B767" s="21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30</v>
      </c>
      <c r="B768" s="21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30</v>
      </c>
      <c r="B769" s="21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30</v>
      </c>
      <c r="B770" s="21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30</v>
      </c>
      <c r="B771" s="21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30</v>
      </c>
      <c r="B772" s="21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30</v>
      </c>
      <c r="B773" s="21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30</v>
      </c>
      <c r="B774" s="21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30</v>
      </c>
      <c r="B775" s="21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30</v>
      </c>
      <c r="B776" s="21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30</v>
      </c>
      <c r="B777" s="21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30</v>
      </c>
      <c r="B778" s="21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30</v>
      </c>
      <c r="B779" s="21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30</v>
      </c>
      <c r="B780" s="21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30</v>
      </c>
      <c r="B781" s="21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30</v>
      </c>
      <c r="B782" s="21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30</v>
      </c>
      <c r="B783" s="21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30</v>
      </c>
      <c r="B784" s="21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30</v>
      </c>
      <c r="B785" s="21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30</v>
      </c>
      <c r="B786" s="21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30</v>
      </c>
      <c r="B787" s="21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30</v>
      </c>
      <c r="B788" s="21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30</v>
      </c>
      <c r="B789" s="21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30</v>
      </c>
      <c r="B790" s="21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30</v>
      </c>
      <c r="B791" s="21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30</v>
      </c>
      <c r="B792" s="21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30</v>
      </c>
      <c r="B793" s="21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30</v>
      </c>
      <c r="B794" s="21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30</v>
      </c>
      <c r="B795" s="21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30</v>
      </c>
      <c r="B796" s="21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30</v>
      </c>
      <c r="B797" s="21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30</v>
      </c>
      <c r="B798" s="21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30</v>
      </c>
      <c r="B799" s="21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30</v>
      </c>
      <c r="B800" s="21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30</v>
      </c>
      <c r="B801" s="21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30</v>
      </c>
      <c r="B802" s="21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30</v>
      </c>
      <c r="B803" s="21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30</v>
      </c>
      <c r="B804" s="21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30</v>
      </c>
      <c r="B805" s="21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30</v>
      </c>
      <c r="B806" s="21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30</v>
      </c>
      <c r="B807" s="21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30</v>
      </c>
      <c r="B808" s="21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30</v>
      </c>
      <c r="B809" s="21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30</v>
      </c>
      <c r="B810" s="21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30</v>
      </c>
      <c r="B811" s="21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30</v>
      </c>
      <c r="B812" s="21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30</v>
      </c>
      <c r="B813" s="21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30</v>
      </c>
      <c r="B814" s="21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30</v>
      </c>
      <c r="B815" s="21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30</v>
      </c>
      <c r="B816" s="21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30</v>
      </c>
      <c r="B817" s="21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30</v>
      </c>
      <c r="B818" s="21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30</v>
      </c>
      <c r="B819" s="21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30</v>
      </c>
      <c r="B820" s="21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30</v>
      </c>
      <c r="B821" s="21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30</v>
      </c>
      <c r="B822" s="21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30</v>
      </c>
      <c r="B823" s="21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30</v>
      </c>
      <c r="B824" s="21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30</v>
      </c>
      <c r="B825" s="21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30</v>
      </c>
      <c r="B826" s="21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30</v>
      </c>
      <c r="B827" s="21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30</v>
      </c>
      <c r="B828" s="21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30</v>
      </c>
      <c r="B829" s="21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30</v>
      </c>
      <c r="B830" s="21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30</v>
      </c>
      <c r="B831" s="21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30</v>
      </c>
      <c r="B832" s="21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30</v>
      </c>
      <c r="B833" s="21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30</v>
      </c>
      <c r="B834" s="21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30</v>
      </c>
      <c r="B835" s="21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30</v>
      </c>
      <c r="B836" s="21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30</v>
      </c>
      <c r="B837" s="21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30</v>
      </c>
      <c r="B838" s="21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30</v>
      </c>
      <c r="B839" s="21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30</v>
      </c>
      <c r="B840" s="21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30</v>
      </c>
      <c r="B841" s="21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30</v>
      </c>
      <c r="B842" s="21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30</v>
      </c>
      <c r="B843" s="21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30</v>
      </c>
      <c r="B844" s="21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30</v>
      </c>
      <c r="B845" s="21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30</v>
      </c>
      <c r="B846" s="21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30</v>
      </c>
      <c r="B847" s="21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30</v>
      </c>
      <c r="B848" s="21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30</v>
      </c>
      <c r="B849" s="21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30</v>
      </c>
      <c r="B850" s="21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30</v>
      </c>
      <c r="B851" s="21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30</v>
      </c>
      <c r="B852" s="21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30</v>
      </c>
      <c r="B853" s="21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30</v>
      </c>
      <c r="B854" s="21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30</v>
      </c>
      <c r="B855" s="21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30</v>
      </c>
      <c r="B856" s="21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30</v>
      </c>
      <c r="B857" s="21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30</v>
      </c>
      <c r="B858" s="21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30</v>
      </c>
      <c r="B859" s="21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30</v>
      </c>
      <c r="B860" s="21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30</v>
      </c>
      <c r="B861" s="21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30</v>
      </c>
      <c r="B862" s="21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30</v>
      </c>
      <c r="B863" s="21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30</v>
      </c>
      <c r="B864" s="21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30</v>
      </c>
      <c r="B865" s="21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30</v>
      </c>
      <c r="B866" s="21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30</v>
      </c>
      <c r="B867" s="21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30</v>
      </c>
      <c r="B868" s="21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30</v>
      </c>
      <c r="B869" s="21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30</v>
      </c>
      <c r="B870" s="21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30</v>
      </c>
      <c r="B871" s="21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30</v>
      </c>
      <c r="B872" s="21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30</v>
      </c>
      <c r="B873" s="21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30</v>
      </c>
      <c r="B874" s="21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30</v>
      </c>
      <c r="B875" s="21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30</v>
      </c>
      <c r="B876" s="21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30</v>
      </c>
      <c r="B877" s="21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30</v>
      </c>
      <c r="B878" s="21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30</v>
      </c>
      <c r="B879" s="21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30</v>
      </c>
      <c r="B880" s="21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30</v>
      </c>
      <c r="B881" s="21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30</v>
      </c>
      <c r="B882" s="21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30</v>
      </c>
      <c r="B883" s="21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30</v>
      </c>
      <c r="B884" s="21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30</v>
      </c>
      <c r="B885" s="21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30</v>
      </c>
      <c r="B886" s="21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30</v>
      </c>
      <c r="B887" s="21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30</v>
      </c>
      <c r="B888" s="21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30</v>
      </c>
      <c r="B889" s="21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30</v>
      </c>
      <c r="B890" s="21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30</v>
      </c>
      <c r="B891" s="21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30</v>
      </c>
      <c r="B892" s="21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30</v>
      </c>
      <c r="B893" s="21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30</v>
      </c>
      <c r="B894" s="21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30</v>
      </c>
      <c r="B895" s="21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30</v>
      </c>
      <c r="B896" s="21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30</v>
      </c>
      <c r="B897" s="21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30</v>
      </c>
      <c r="B898" s="21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30</v>
      </c>
      <c r="B899" s="21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30</v>
      </c>
      <c r="B900" s="21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30</v>
      </c>
      <c r="B901" s="21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30</v>
      </c>
      <c r="B902" s="21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30</v>
      </c>
      <c r="B903" s="21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30</v>
      </c>
      <c r="B904" s="21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30</v>
      </c>
      <c r="B905" s="21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30</v>
      </c>
      <c r="B906" s="21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30</v>
      </c>
      <c r="B907" s="21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30</v>
      </c>
      <c r="B908" s="21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30</v>
      </c>
      <c r="B909" s="21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30</v>
      </c>
      <c r="B910" s="21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30</v>
      </c>
      <c r="B911" s="21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30</v>
      </c>
      <c r="B912" s="21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30</v>
      </c>
      <c r="B913" s="21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30</v>
      </c>
      <c r="B914" s="21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30</v>
      </c>
      <c r="B915" s="21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30</v>
      </c>
      <c r="B916" s="21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30</v>
      </c>
      <c r="B917" s="21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30</v>
      </c>
      <c r="B918" s="21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30</v>
      </c>
      <c r="B919" s="21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30</v>
      </c>
      <c r="B920" s="21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30</v>
      </c>
      <c r="B921" s="21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30</v>
      </c>
      <c r="B922" s="21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30</v>
      </c>
      <c r="B923" s="21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30</v>
      </c>
      <c r="B924" s="21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30</v>
      </c>
      <c r="B925" s="21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30</v>
      </c>
      <c r="B926" s="21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30</v>
      </c>
      <c r="B927" s="21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30</v>
      </c>
      <c r="B928" s="21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30</v>
      </c>
      <c r="B929" s="21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30</v>
      </c>
      <c r="B930" s="21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30</v>
      </c>
      <c r="B931" s="21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30</v>
      </c>
      <c r="B932" s="21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30</v>
      </c>
      <c r="B933" s="21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30</v>
      </c>
      <c r="B934" s="21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30</v>
      </c>
      <c r="B935" s="21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30</v>
      </c>
      <c r="B936" s="21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30</v>
      </c>
      <c r="B937" s="21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30</v>
      </c>
      <c r="B938" s="21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30</v>
      </c>
      <c r="B939" s="21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30</v>
      </c>
      <c r="B940" s="21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30</v>
      </c>
      <c r="B941" s="21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30</v>
      </c>
      <c r="B942" s="21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30</v>
      </c>
      <c r="B943" s="21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30</v>
      </c>
      <c r="B944" s="21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30</v>
      </c>
      <c r="B945" s="21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30</v>
      </c>
      <c r="B946" s="21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30</v>
      </c>
      <c r="B947" s="21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30</v>
      </c>
      <c r="B948" s="21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30</v>
      </c>
      <c r="B949" s="21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30</v>
      </c>
      <c r="B950" s="21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30</v>
      </c>
      <c r="B951" s="21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30</v>
      </c>
      <c r="B952" s="21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30</v>
      </c>
      <c r="B953" s="21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30</v>
      </c>
      <c r="B954" s="21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30</v>
      </c>
      <c r="B955" s="21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30</v>
      </c>
      <c r="B956" s="21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30</v>
      </c>
      <c r="B957" s="21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30</v>
      </c>
      <c r="B958" s="21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30</v>
      </c>
      <c r="B959" s="21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30</v>
      </c>
      <c r="B960" s="21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30</v>
      </c>
      <c r="B961" s="21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30</v>
      </c>
      <c r="B962" s="21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30</v>
      </c>
      <c r="B963" s="21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30</v>
      </c>
      <c r="B964" s="21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30</v>
      </c>
      <c r="B965" s="21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30</v>
      </c>
      <c r="B966" s="21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30</v>
      </c>
      <c r="B967" s="21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30</v>
      </c>
      <c r="B968" s="21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30</v>
      </c>
      <c r="B969" s="21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30</v>
      </c>
      <c r="B970" s="21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30</v>
      </c>
      <c r="B971" s="21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30</v>
      </c>
      <c r="B972" s="21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30</v>
      </c>
      <c r="B973" s="21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30</v>
      </c>
      <c r="B974" s="21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30</v>
      </c>
      <c r="B975" s="21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30</v>
      </c>
      <c r="B976" s="21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30</v>
      </c>
      <c r="B977" s="21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30</v>
      </c>
      <c r="B978" s="21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30</v>
      </c>
      <c r="B979" s="21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30</v>
      </c>
      <c r="B980" s="21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30</v>
      </c>
      <c r="B981" s="21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30</v>
      </c>
      <c r="B982" s="21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30</v>
      </c>
      <c r="B983" s="21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30</v>
      </c>
      <c r="B984" s="21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30</v>
      </c>
      <c r="B985" s="21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30</v>
      </c>
      <c r="B986" s="21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30</v>
      </c>
      <c r="B987" s="21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30</v>
      </c>
      <c r="B988" s="21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30</v>
      </c>
      <c r="B989" s="21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30</v>
      </c>
      <c r="B990" s="21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30</v>
      </c>
      <c r="B991" s="21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30</v>
      </c>
      <c r="B992" s="21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30</v>
      </c>
      <c r="B993" s="21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30</v>
      </c>
      <c r="B994" s="21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30</v>
      </c>
      <c r="B995" s="21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30</v>
      </c>
      <c r="B996" s="21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30</v>
      </c>
      <c r="B997" s="21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30</v>
      </c>
      <c r="B998" s="21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30</v>
      </c>
      <c r="B999" s="21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30</v>
      </c>
      <c r="B1000" s="21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30</v>
      </c>
      <c r="B1001" s="21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30</v>
      </c>
      <c r="B1002" s="21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30</v>
      </c>
      <c r="B1003" s="21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30</v>
      </c>
      <c r="B1004" s="21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30</v>
      </c>
      <c r="B1005" s="21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30</v>
      </c>
      <c r="B1006" s="21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30</v>
      </c>
      <c r="B1007" s="21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30</v>
      </c>
      <c r="B1008" s="21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30</v>
      </c>
      <c r="B1009" s="21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30</v>
      </c>
      <c r="B1010" s="21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30</v>
      </c>
      <c r="B1011" s="21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30</v>
      </c>
      <c r="B1012" s="21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30</v>
      </c>
      <c r="B1013" s="21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30</v>
      </c>
      <c r="B1014" s="21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30</v>
      </c>
      <c r="B1015" s="21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30</v>
      </c>
      <c r="B1016" s="21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30</v>
      </c>
      <c r="B1017" s="21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30</v>
      </c>
      <c r="B1018" s="21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30</v>
      </c>
      <c r="B1019" s="21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30</v>
      </c>
      <c r="B1020" s="21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30</v>
      </c>
      <c r="B1021" s="21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30</v>
      </c>
      <c r="B1022" s="21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30</v>
      </c>
      <c r="B1023" s="21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30</v>
      </c>
      <c r="B1024" s="21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30</v>
      </c>
      <c r="B1025" s="21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30</v>
      </c>
      <c r="B1026" s="21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30</v>
      </c>
      <c r="B1027" s="21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30</v>
      </c>
      <c r="B1028" s="21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30</v>
      </c>
      <c r="B1029" s="21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30</v>
      </c>
      <c r="B1030" s="21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30</v>
      </c>
      <c r="B1031" s="21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30</v>
      </c>
      <c r="B1032" s="21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30</v>
      </c>
      <c r="B1033" s="21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30</v>
      </c>
      <c r="B1034" s="21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30</v>
      </c>
      <c r="B1035" s="21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30</v>
      </c>
      <c r="B1036" s="21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30</v>
      </c>
      <c r="B1037" s="21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30</v>
      </c>
      <c r="B1038" s="21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30</v>
      </c>
      <c r="B1039" s="21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30</v>
      </c>
      <c r="B1040" s="21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30</v>
      </c>
      <c r="B1041" s="21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30</v>
      </c>
      <c r="B1042" s="21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30</v>
      </c>
      <c r="B1043" s="21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30</v>
      </c>
      <c r="B1044" s="21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30</v>
      </c>
      <c r="B1045" s="21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30</v>
      </c>
      <c r="B1046" s="21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30</v>
      </c>
      <c r="B1047" s="21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30</v>
      </c>
      <c r="B1048" s="21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30</v>
      </c>
      <c r="B1049" s="21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30</v>
      </c>
      <c r="B1050" s="21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30</v>
      </c>
      <c r="B1051" s="21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30</v>
      </c>
      <c r="B1052" s="21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30</v>
      </c>
      <c r="B1053" s="21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30</v>
      </c>
      <c r="B1054" s="21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30</v>
      </c>
      <c r="B1055" s="21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30</v>
      </c>
      <c r="B1056" s="21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30</v>
      </c>
      <c r="B1057" s="21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30</v>
      </c>
      <c r="B1058" s="21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30</v>
      </c>
      <c r="B1059" s="21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30</v>
      </c>
      <c r="B1060" s="21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30</v>
      </c>
      <c r="B1061" s="21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30</v>
      </c>
      <c r="B1062" s="21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30</v>
      </c>
      <c r="B1063" s="21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30</v>
      </c>
      <c r="B1064" s="21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30</v>
      </c>
      <c r="B1065" s="21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30</v>
      </c>
      <c r="B1066" s="21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30</v>
      </c>
      <c r="B1067" s="21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30</v>
      </c>
      <c r="B1068" s="21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30</v>
      </c>
      <c r="B1069" s="21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30</v>
      </c>
      <c r="B1070" s="21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30</v>
      </c>
      <c r="B1071" s="21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30</v>
      </c>
      <c r="B1072" s="21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30</v>
      </c>
      <c r="B1073" s="21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30</v>
      </c>
      <c r="B1074" s="21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30</v>
      </c>
      <c r="B1075" s="21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30</v>
      </c>
      <c r="B1076" s="21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30</v>
      </c>
      <c r="B1077" s="21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30</v>
      </c>
      <c r="B1078" s="21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30</v>
      </c>
      <c r="B1079" s="21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30</v>
      </c>
      <c r="B1080" s="21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30</v>
      </c>
      <c r="B1081" s="21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30</v>
      </c>
      <c r="B1082" s="21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30</v>
      </c>
      <c r="B1083" s="21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30</v>
      </c>
      <c r="B1084" s="21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30</v>
      </c>
      <c r="B1085" s="21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30</v>
      </c>
      <c r="B1086" s="21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30</v>
      </c>
      <c r="B1087" s="21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30</v>
      </c>
      <c r="B1088" s="21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30</v>
      </c>
      <c r="B1089" s="21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30</v>
      </c>
      <c r="B1090" s="21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30</v>
      </c>
      <c r="B1091" s="21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30</v>
      </c>
      <c r="B1092" s="21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30</v>
      </c>
      <c r="B1093" s="21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30</v>
      </c>
      <c r="B1094" s="21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30</v>
      </c>
      <c r="B1095" s="21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30</v>
      </c>
      <c r="B1096" s="21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30</v>
      </c>
      <c r="B1097" s="21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30</v>
      </c>
      <c r="B1098" s="21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30</v>
      </c>
      <c r="B1099" s="21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30</v>
      </c>
      <c r="B1100" s="21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30</v>
      </c>
      <c r="B1101" s="21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30</v>
      </c>
      <c r="B1102" s="21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30</v>
      </c>
      <c r="B1103" s="21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30</v>
      </c>
      <c r="B1104" s="21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30</v>
      </c>
      <c r="B1105" s="21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30</v>
      </c>
      <c r="B1106" s="21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30</v>
      </c>
      <c r="B1107" s="21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30</v>
      </c>
      <c r="B1108" s="21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30</v>
      </c>
      <c r="B1109" s="21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30</v>
      </c>
      <c r="B1110" s="21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30</v>
      </c>
      <c r="B1111" s="21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30</v>
      </c>
      <c r="B1112" s="21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30</v>
      </c>
      <c r="B1113" s="21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30</v>
      </c>
      <c r="B1114" s="21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30</v>
      </c>
      <c r="B1115" s="21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30</v>
      </c>
      <c r="B1116" s="21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30</v>
      </c>
      <c r="B1117" s="21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30</v>
      </c>
      <c r="B1118" s="21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30</v>
      </c>
      <c r="B1119" s="21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30</v>
      </c>
      <c r="B1120" s="21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30</v>
      </c>
      <c r="B1121" s="21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30</v>
      </c>
      <c r="B1122" s="21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30</v>
      </c>
      <c r="B1123" s="21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30</v>
      </c>
      <c r="B1124" s="21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30</v>
      </c>
      <c r="B1125" s="21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30</v>
      </c>
      <c r="B1126" s="21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30</v>
      </c>
      <c r="B1127" s="21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30</v>
      </c>
      <c r="B1128" s="21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30</v>
      </c>
      <c r="B1129" s="21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30</v>
      </c>
      <c r="B1130" s="21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30</v>
      </c>
      <c r="B1131" s="21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30</v>
      </c>
      <c r="B1132" s="21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30</v>
      </c>
      <c r="B1133" s="21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30</v>
      </c>
      <c r="B1134" s="21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30</v>
      </c>
      <c r="B1135" s="21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30</v>
      </c>
      <c r="B1136" s="21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30</v>
      </c>
      <c r="B1137" s="21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30</v>
      </c>
      <c r="B1138" s="21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30</v>
      </c>
      <c r="B1139" s="21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30</v>
      </c>
      <c r="B1140" s="21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30</v>
      </c>
      <c r="B1141" s="21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30</v>
      </c>
      <c r="B1142" s="21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30</v>
      </c>
      <c r="B1143" s="21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30</v>
      </c>
      <c r="B1144" s="21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30</v>
      </c>
      <c r="B1145" s="21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30</v>
      </c>
      <c r="B1146" s="21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30</v>
      </c>
      <c r="B1147" s="21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30</v>
      </c>
      <c r="B1148" s="21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30</v>
      </c>
      <c r="B1149" s="21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30</v>
      </c>
      <c r="B1150" s="21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30</v>
      </c>
      <c r="B1151" s="21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30</v>
      </c>
      <c r="B1152" s="21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30</v>
      </c>
      <c r="B1153" s="21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30</v>
      </c>
      <c r="B1154" s="21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30</v>
      </c>
      <c r="B1155" s="21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30</v>
      </c>
      <c r="B1156" s="21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30</v>
      </c>
      <c r="B1157" s="21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30</v>
      </c>
      <c r="B1158" s="21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30</v>
      </c>
      <c r="B1159" s="21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30</v>
      </c>
      <c r="B1160" s="21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30</v>
      </c>
      <c r="B1161" s="21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30</v>
      </c>
      <c r="B1162" s="21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30</v>
      </c>
      <c r="B1163" s="21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30</v>
      </c>
      <c r="B1164" s="21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30</v>
      </c>
      <c r="B1165" s="21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30</v>
      </c>
      <c r="B1166" s="21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30</v>
      </c>
      <c r="B1167" s="21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30</v>
      </c>
      <c r="B1168" s="21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30</v>
      </c>
      <c r="B1169" s="21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30</v>
      </c>
      <c r="B1170" s="21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30</v>
      </c>
      <c r="B1171" s="21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30</v>
      </c>
      <c r="B1172" s="21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30</v>
      </c>
      <c r="B1173" s="21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30</v>
      </c>
      <c r="B1174" s="21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30</v>
      </c>
      <c r="B1175" s="21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30</v>
      </c>
      <c r="B1176" s="21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30</v>
      </c>
      <c r="B1177" s="21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30</v>
      </c>
      <c r="B1178" s="21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30</v>
      </c>
      <c r="B1179" s="21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30</v>
      </c>
      <c r="B1180" s="21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30</v>
      </c>
      <c r="B1181" s="21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30</v>
      </c>
      <c r="B1182" s="21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30</v>
      </c>
      <c r="B1183" s="21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30</v>
      </c>
      <c r="B1184" s="21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30</v>
      </c>
      <c r="B1185" s="21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30</v>
      </c>
      <c r="B1186" s="21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30</v>
      </c>
      <c r="B1187" s="21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30</v>
      </c>
      <c r="B1188" s="21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30</v>
      </c>
      <c r="B1189" s="21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30</v>
      </c>
      <c r="B1190" s="21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30</v>
      </c>
      <c r="B1191" s="21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30</v>
      </c>
      <c r="B1192" s="21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30</v>
      </c>
      <c r="B1193" s="21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30</v>
      </c>
      <c r="B1194" s="21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30</v>
      </c>
      <c r="B1195" s="21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30</v>
      </c>
      <c r="B1196" s="21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30</v>
      </c>
      <c r="B1197" s="21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30</v>
      </c>
      <c r="B1198" s="21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30</v>
      </c>
      <c r="B1199" s="21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30</v>
      </c>
      <c r="B1200" s="21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30</v>
      </c>
      <c r="B1201" s="21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30</v>
      </c>
      <c r="B1202" s="21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30</v>
      </c>
      <c r="B1203" s="21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30</v>
      </c>
      <c r="B1204" s="21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30</v>
      </c>
      <c r="B1205" s="21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30</v>
      </c>
      <c r="B1206" s="21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30</v>
      </c>
      <c r="B1207" s="21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30</v>
      </c>
      <c r="B1208" s="21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30</v>
      </c>
      <c r="B1209" s="21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30</v>
      </c>
      <c r="B1210" s="21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30</v>
      </c>
      <c r="B1211" s="21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30</v>
      </c>
      <c r="B1212" s="21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30</v>
      </c>
      <c r="B1213" s="21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30</v>
      </c>
      <c r="B1214" s="21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30</v>
      </c>
      <c r="B1215" s="21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30</v>
      </c>
      <c r="B1216" s="21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30</v>
      </c>
      <c r="B1217" s="21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30</v>
      </c>
      <c r="B1218" s="21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30</v>
      </c>
      <c r="B1219" s="21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30</v>
      </c>
      <c r="B1220" s="21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30</v>
      </c>
      <c r="B1221" s="21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30</v>
      </c>
      <c r="B1222" s="21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30</v>
      </c>
      <c r="B1223" s="21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30</v>
      </c>
      <c r="B1224" s="21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30</v>
      </c>
      <c r="B1225" s="21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30</v>
      </c>
      <c r="B1226" s="21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30</v>
      </c>
      <c r="B1227" s="21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30</v>
      </c>
      <c r="B1228" s="21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30</v>
      </c>
      <c r="B1229" s="21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30</v>
      </c>
      <c r="B1230" s="21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30</v>
      </c>
      <c r="B1231" s="21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30</v>
      </c>
      <c r="B1232" s="21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30</v>
      </c>
      <c r="B1233" s="21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30</v>
      </c>
      <c r="B1234" s="21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30</v>
      </c>
      <c r="B1235" s="21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30</v>
      </c>
      <c r="B1236" s="21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30</v>
      </c>
      <c r="B1237" s="21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30</v>
      </c>
      <c r="B1238" s="21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30</v>
      </c>
      <c r="B1239" s="21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30</v>
      </c>
      <c r="B1240" s="21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30</v>
      </c>
      <c r="B1241" s="21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30</v>
      </c>
      <c r="B1242" s="21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30</v>
      </c>
      <c r="B1243" s="21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30</v>
      </c>
      <c r="B1244" s="21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30</v>
      </c>
      <c r="B1245" s="21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30</v>
      </c>
      <c r="B1246" s="21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30</v>
      </c>
      <c r="B1247" s="21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30</v>
      </c>
      <c r="B1248" s="21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30</v>
      </c>
      <c r="B1249" s="21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30</v>
      </c>
      <c r="B1250" s="21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30</v>
      </c>
      <c r="B1251" s="21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30</v>
      </c>
      <c r="B1252" s="21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30</v>
      </c>
      <c r="B1253" s="21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30</v>
      </c>
      <c r="B1254" s="21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30</v>
      </c>
      <c r="B1255" s="21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30</v>
      </c>
      <c r="B1256" s="21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30</v>
      </c>
      <c r="B1257" s="21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30</v>
      </c>
      <c r="B1258" s="21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30</v>
      </c>
      <c r="B1259" s="21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30</v>
      </c>
      <c r="B1260" s="21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30</v>
      </c>
      <c r="B1261" s="21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30</v>
      </c>
      <c r="B1262" s="21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30</v>
      </c>
      <c r="B1263" s="21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30</v>
      </c>
      <c r="B1264" s="21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30</v>
      </c>
      <c r="B1265" s="21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30</v>
      </c>
      <c r="B1266" s="21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30</v>
      </c>
      <c r="B1267" s="21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30</v>
      </c>
      <c r="B1268" s="21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30</v>
      </c>
      <c r="B1269" s="21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30</v>
      </c>
      <c r="B1270" s="21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30</v>
      </c>
      <c r="B1271" s="21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30</v>
      </c>
      <c r="B1272" s="21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30</v>
      </c>
      <c r="B1273" s="21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30</v>
      </c>
      <c r="B1274" s="21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30</v>
      </c>
      <c r="B1275" s="21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30</v>
      </c>
      <c r="B1276" s="21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30</v>
      </c>
      <c r="B1277" s="21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30</v>
      </c>
      <c r="B1278" s="21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30</v>
      </c>
      <c r="B1279" s="21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30</v>
      </c>
      <c r="B1280" s="21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30</v>
      </c>
      <c r="B1281" s="21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30</v>
      </c>
      <c r="B1282" s="21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30</v>
      </c>
      <c r="B1283" s="21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30</v>
      </c>
      <c r="B1284" s="21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30</v>
      </c>
      <c r="B1285" s="21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30</v>
      </c>
      <c r="B1286" s="21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30</v>
      </c>
      <c r="B1287" s="21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30</v>
      </c>
      <c r="B1288" s="21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30</v>
      </c>
      <c r="B1289" s="21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30</v>
      </c>
      <c r="B1290" s="21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30</v>
      </c>
      <c r="B1291" s="21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30</v>
      </c>
      <c r="B1292" s="21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30</v>
      </c>
      <c r="B1293" s="21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30</v>
      </c>
      <c r="B1294" s="21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30</v>
      </c>
      <c r="B1295" s="21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30</v>
      </c>
      <c r="B1296" s="21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30</v>
      </c>
      <c r="B1297" s="21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30</v>
      </c>
      <c r="B1298" s="21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30</v>
      </c>
      <c r="B1299" s="21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30</v>
      </c>
      <c r="B1300" s="21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30</v>
      </c>
      <c r="B1301" s="21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30</v>
      </c>
      <c r="B1302" s="21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30</v>
      </c>
      <c r="B1303" s="21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30</v>
      </c>
      <c r="B1304" s="21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30</v>
      </c>
      <c r="B1305" s="21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30</v>
      </c>
      <c r="B1306" s="21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30</v>
      </c>
      <c r="B1307" s="21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30</v>
      </c>
      <c r="B1308" s="21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30</v>
      </c>
      <c r="B1309" s="21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30</v>
      </c>
      <c r="B1310" s="21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30</v>
      </c>
      <c r="B1311" s="21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30</v>
      </c>
      <c r="B1312" s="21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30</v>
      </c>
      <c r="B1313" s="21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30</v>
      </c>
      <c r="B1314" s="21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30</v>
      </c>
      <c r="B1315" s="21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30</v>
      </c>
      <c r="B1316" s="21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30</v>
      </c>
      <c r="B1317" s="21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30</v>
      </c>
      <c r="B1318" s="21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30</v>
      </c>
      <c r="B1319" s="21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30</v>
      </c>
      <c r="B1320" s="21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30</v>
      </c>
      <c r="B1321" s="21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30</v>
      </c>
      <c r="B1322" s="21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30</v>
      </c>
      <c r="B1323" s="21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30</v>
      </c>
      <c r="B1324" s="21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30</v>
      </c>
      <c r="B1325" s="21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30</v>
      </c>
      <c r="B1326" s="21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30</v>
      </c>
      <c r="B1327" s="21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30</v>
      </c>
      <c r="B1328" s="21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30</v>
      </c>
      <c r="B1329" s="21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30</v>
      </c>
      <c r="B1330" s="21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30</v>
      </c>
      <c r="B1331" s="21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30</v>
      </c>
      <c r="B1332" s="21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30</v>
      </c>
      <c r="B1333" s="21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30</v>
      </c>
      <c r="B1334" s="21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30</v>
      </c>
      <c r="B1335" s="21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30</v>
      </c>
      <c r="B1336" s="21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30</v>
      </c>
      <c r="B1337" s="21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30</v>
      </c>
      <c r="B1338" s="21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30</v>
      </c>
      <c r="B1339" s="21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30</v>
      </c>
      <c r="B1340" s="21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30</v>
      </c>
      <c r="B1341" s="21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30</v>
      </c>
      <c r="B1342" s="21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30</v>
      </c>
      <c r="B1343" s="21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30</v>
      </c>
      <c r="B1344" s="21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30</v>
      </c>
      <c r="B1345" s="21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30</v>
      </c>
      <c r="B1346" s="21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30</v>
      </c>
      <c r="B1347" s="21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30</v>
      </c>
      <c r="B1348" s="21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30</v>
      </c>
      <c r="B1349" s="21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30</v>
      </c>
      <c r="B1350" s="21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30</v>
      </c>
      <c r="B1351" s="21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30</v>
      </c>
      <c r="B1352" s="21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30</v>
      </c>
      <c r="B1353" s="21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30</v>
      </c>
      <c r="B1354" s="21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30</v>
      </c>
      <c r="B1355" s="21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30</v>
      </c>
      <c r="B1356" s="21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30</v>
      </c>
      <c r="B1357" s="21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30</v>
      </c>
      <c r="B1358" s="21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30</v>
      </c>
      <c r="B1359" s="21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30</v>
      </c>
      <c r="B1360" s="21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30</v>
      </c>
      <c r="B1361" s="21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30</v>
      </c>
      <c r="B1362" s="21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30</v>
      </c>
      <c r="B1363" s="21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30</v>
      </c>
      <c r="B1364" s="21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30</v>
      </c>
      <c r="B1365" s="21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30</v>
      </c>
      <c r="B1366" s="21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30</v>
      </c>
      <c r="B1367" s="21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30</v>
      </c>
      <c r="B1368" s="21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30</v>
      </c>
      <c r="B1369" s="21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30</v>
      </c>
      <c r="B1370" s="21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30</v>
      </c>
      <c r="B1371" s="21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30</v>
      </c>
      <c r="B1372" s="21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30</v>
      </c>
      <c r="B1373" s="21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30</v>
      </c>
      <c r="B1374" s="21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30</v>
      </c>
      <c r="B1375" s="21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30</v>
      </c>
      <c r="B1376" s="21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30</v>
      </c>
      <c r="B1377" s="21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30</v>
      </c>
      <c r="B1378" s="21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30</v>
      </c>
      <c r="B1379" s="21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30</v>
      </c>
      <c r="B1380" s="21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30</v>
      </c>
      <c r="B1381" s="21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30</v>
      </c>
      <c r="B1382" s="21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30</v>
      </c>
      <c r="B1383" s="21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30</v>
      </c>
      <c r="B1384" s="21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30</v>
      </c>
      <c r="B1385" s="21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30</v>
      </c>
      <c r="B1386" s="21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30</v>
      </c>
      <c r="B1387" s="21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30</v>
      </c>
      <c r="B1388" s="21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30</v>
      </c>
      <c r="B1389" s="21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30</v>
      </c>
      <c r="B1390" s="21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30</v>
      </c>
      <c r="B1391" s="21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30</v>
      </c>
      <c r="B1392" s="21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30</v>
      </c>
      <c r="B1393" s="21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30</v>
      </c>
      <c r="B1394" s="21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30</v>
      </c>
      <c r="B1395" s="21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30</v>
      </c>
      <c r="B1396" s="21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30</v>
      </c>
      <c r="B1397" s="21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30</v>
      </c>
      <c r="B1398" s="21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30</v>
      </c>
      <c r="B1399" s="21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30</v>
      </c>
      <c r="B1400" s="21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30</v>
      </c>
      <c r="B1401" s="21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30</v>
      </c>
      <c r="B1402" s="21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30</v>
      </c>
      <c r="B1403" s="21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30</v>
      </c>
      <c r="B1404" s="21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30</v>
      </c>
      <c r="B1405" s="21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30</v>
      </c>
      <c r="B1406" s="21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30</v>
      </c>
      <c r="B1407" s="21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30</v>
      </c>
      <c r="B1408" s="21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30</v>
      </c>
      <c r="B1409" s="21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30</v>
      </c>
      <c r="B1410" s="21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30</v>
      </c>
      <c r="B1411" s="21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30</v>
      </c>
      <c r="B1412" s="21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30</v>
      </c>
      <c r="B1413" s="21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30</v>
      </c>
      <c r="B1414" s="21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30</v>
      </c>
      <c r="B1415" s="21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30</v>
      </c>
      <c r="B1416" s="21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30</v>
      </c>
      <c r="B1417" s="21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30</v>
      </c>
      <c r="B1418" s="21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30</v>
      </c>
      <c r="B1419" s="21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30</v>
      </c>
      <c r="B1420" s="21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30</v>
      </c>
      <c r="B1421" s="21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30</v>
      </c>
      <c r="B1422" s="21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30</v>
      </c>
      <c r="B1423" s="21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30</v>
      </c>
      <c r="B1424" s="21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30</v>
      </c>
      <c r="B1425" s="21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30</v>
      </c>
      <c r="B1426" s="21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30</v>
      </c>
      <c r="B1427" s="21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30</v>
      </c>
      <c r="B1428" s="21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30</v>
      </c>
      <c r="B1429" s="21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30</v>
      </c>
      <c r="B1430" s="21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30</v>
      </c>
      <c r="B1431" s="21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30</v>
      </c>
      <c r="B1432" s="21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30</v>
      </c>
      <c r="B1433" s="21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30</v>
      </c>
      <c r="B1434" s="21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30</v>
      </c>
      <c r="B1435" s="21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30</v>
      </c>
      <c r="B1436" s="21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30</v>
      </c>
      <c r="B1437" s="21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30</v>
      </c>
      <c r="B1438" s="21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30</v>
      </c>
      <c r="B1439" s="21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30</v>
      </c>
      <c r="B1440" s="21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30</v>
      </c>
      <c r="B1441" s="21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30</v>
      </c>
      <c r="B1442" s="21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30</v>
      </c>
      <c r="B1443" s="21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30</v>
      </c>
      <c r="B1444" s="21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30</v>
      </c>
      <c r="B1445" s="21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30</v>
      </c>
      <c r="B1446" s="21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30</v>
      </c>
      <c r="B1447" s="21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30</v>
      </c>
      <c r="B1448" s="21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30</v>
      </c>
      <c r="B1449" s="21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30</v>
      </c>
      <c r="B1450" s="21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30</v>
      </c>
      <c r="B1451" s="21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30</v>
      </c>
      <c r="B1452" s="21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30</v>
      </c>
      <c r="B1453" s="21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30</v>
      </c>
      <c r="B1454" s="21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30</v>
      </c>
      <c r="B1455" s="21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30</v>
      </c>
      <c r="B1456" s="21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30</v>
      </c>
      <c r="B1457" s="21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30</v>
      </c>
      <c r="B1458" s="21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30</v>
      </c>
      <c r="B1459" s="21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30</v>
      </c>
      <c r="B1460" s="21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30</v>
      </c>
      <c r="B1461" s="21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30</v>
      </c>
      <c r="B1462" s="21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30</v>
      </c>
      <c r="B1463" s="21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30</v>
      </c>
      <c r="B1464" s="21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30</v>
      </c>
      <c r="B1465" s="21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30</v>
      </c>
      <c r="B1466" s="21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30</v>
      </c>
      <c r="B1467" s="21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30</v>
      </c>
      <c r="B1468" s="21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30</v>
      </c>
      <c r="B1469" s="21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30</v>
      </c>
      <c r="B1470" s="21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30</v>
      </c>
      <c r="B1471" s="21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30</v>
      </c>
      <c r="B1472" s="21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30</v>
      </c>
      <c r="B1473" s="21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30</v>
      </c>
      <c r="B1474" s="21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30</v>
      </c>
      <c r="B1475" s="21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30</v>
      </c>
      <c r="B1476" s="21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30</v>
      </c>
      <c r="B1477" s="21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30</v>
      </c>
      <c r="B1478" s="21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30</v>
      </c>
      <c r="B1479" s="21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30</v>
      </c>
      <c r="B1480" s="21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30</v>
      </c>
      <c r="B1481" s="21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30</v>
      </c>
      <c r="B1482" s="21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30</v>
      </c>
      <c r="B1483" s="21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30</v>
      </c>
      <c r="B1484" s="21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30</v>
      </c>
      <c r="B1485" s="21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30</v>
      </c>
      <c r="B1486" s="21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30</v>
      </c>
      <c r="B1487" s="21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30</v>
      </c>
      <c r="B1488" s="21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30</v>
      </c>
      <c r="B1489" s="21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30</v>
      </c>
      <c r="B1490" s="21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30</v>
      </c>
      <c r="B1491" s="21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30</v>
      </c>
      <c r="B1492" s="21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30</v>
      </c>
      <c r="B1493" s="21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30</v>
      </c>
      <c r="B1494" s="21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30</v>
      </c>
      <c r="B1495" s="21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30</v>
      </c>
      <c r="B1496" s="21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30</v>
      </c>
      <c r="B1497" s="21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30</v>
      </c>
      <c r="B1498" s="21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30</v>
      </c>
      <c r="B1499" s="21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30</v>
      </c>
      <c r="B1500" s="21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30</v>
      </c>
      <c r="B1501" s="21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30</v>
      </c>
      <c r="B1502" s="21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30</v>
      </c>
      <c r="B1503" s="21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30</v>
      </c>
      <c r="B1504" s="21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30</v>
      </c>
      <c r="B1505" s="21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30</v>
      </c>
      <c r="B1506" s="21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30</v>
      </c>
      <c r="B1507" s="21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30</v>
      </c>
      <c r="B1508" s="21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30</v>
      </c>
      <c r="B1509" s="21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30</v>
      </c>
      <c r="B1510" s="21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30</v>
      </c>
      <c r="B1511" s="21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30</v>
      </c>
      <c r="B1512" s="21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30</v>
      </c>
      <c r="B1513" s="21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30</v>
      </c>
      <c r="B1514" s="21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30</v>
      </c>
      <c r="B1515" s="21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30</v>
      </c>
      <c r="B1516" s="21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30</v>
      </c>
      <c r="B1517" s="21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30</v>
      </c>
      <c r="B1518" s="21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30</v>
      </c>
      <c r="B1519" s="21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30</v>
      </c>
      <c r="B1520" s="21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30</v>
      </c>
      <c r="B1521" s="21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30</v>
      </c>
      <c r="B1522" s="21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30</v>
      </c>
      <c r="B1523" s="21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30</v>
      </c>
      <c r="B1524" s="21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30</v>
      </c>
      <c r="B1525" s="21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30</v>
      </c>
      <c r="B1526" s="21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30</v>
      </c>
      <c r="B1527" s="21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30</v>
      </c>
      <c r="B1528" s="21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30</v>
      </c>
      <c r="B1529" s="21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30</v>
      </c>
      <c r="B1530" s="21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30</v>
      </c>
      <c r="B1531" s="21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30</v>
      </c>
      <c r="B1532" s="21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30</v>
      </c>
      <c r="B1533" s="21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30</v>
      </c>
      <c r="B1534" s="21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30</v>
      </c>
      <c r="B1535" s="21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30</v>
      </c>
      <c r="B1536" s="21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30</v>
      </c>
      <c r="B1537" s="21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30</v>
      </c>
      <c r="B1538" s="21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30</v>
      </c>
      <c r="B1539" s="21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30</v>
      </c>
      <c r="B1540" s="21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30</v>
      </c>
      <c r="B1541" s="21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30</v>
      </c>
      <c r="B1542" s="21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30</v>
      </c>
      <c r="B1543" s="21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30</v>
      </c>
      <c r="B1544" s="21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30</v>
      </c>
      <c r="B1545" s="21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30</v>
      </c>
      <c r="B1546" s="21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30</v>
      </c>
      <c r="B1547" s="21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30</v>
      </c>
      <c r="B1548" s="21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30</v>
      </c>
      <c r="B1549" s="21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30</v>
      </c>
      <c r="B1550" s="21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30</v>
      </c>
      <c r="B1551" s="21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30</v>
      </c>
      <c r="B1552" s="21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30</v>
      </c>
      <c r="B1553" s="21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30</v>
      </c>
      <c r="B1554" s="21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30</v>
      </c>
      <c r="B1555" s="21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30</v>
      </c>
      <c r="B1556" s="21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30</v>
      </c>
      <c r="B1557" s="21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30</v>
      </c>
      <c r="B1558" s="21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30</v>
      </c>
      <c r="B1559" s="21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30</v>
      </c>
      <c r="B1560" s="21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30</v>
      </c>
      <c r="B1561" s="21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30</v>
      </c>
      <c r="B1562" s="21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30</v>
      </c>
      <c r="B1563" s="21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30</v>
      </c>
      <c r="B1564" s="21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30</v>
      </c>
      <c r="B1565" s="21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30</v>
      </c>
      <c r="B1566" s="21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30</v>
      </c>
      <c r="B1567" s="21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30</v>
      </c>
      <c r="B1568" s="21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30</v>
      </c>
      <c r="B1569" s="21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30</v>
      </c>
      <c r="B1570" s="21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30</v>
      </c>
      <c r="B1571" s="21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30</v>
      </c>
      <c r="B1572" s="21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30</v>
      </c>
      <c r="B1573" s="21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30</v>
      </c>
      <c r="B1574" s="21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30</v>
      </c>
      <c r="B1575" s="21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30</v>
      </c>
      <c r="B1576" s="21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30</v>
      </c>
      <c r="B1577" s="21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30</v>
      </c>
      <c r="B1578" s="21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30</v>
      </c>
      <c r="B1579" s="21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30</v>
      </c>
      <c r="B1580" s="21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30</v>
      </c>
      <c r="B1581" s="21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30</v>
      </c>
      <c r="B1582" s="21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30</v>
      </c>
      <c r="B1583" s="21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30</v>
      </c>
      <c r="B1584" s="21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30</v>
      </c>
      <c r="B1585" s="21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30</v>
      </c>
      <c r="B1586" s="21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30</v>
      </c>
      <c r="B1587" s="21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30</v>
      </c>
      <c r="B1588" s="21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30</v>
      </c>
      <c r="B1589" s="21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30</v>
      </c>
      <c r="B1590" s="21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30</v>
      </c>
      <c r="B1591" s="21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30</v>
      </c>
      <c r="B1592" s="21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30</v>
      </c>
      <c r="B1593" s="21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30</v>
      </c>
      <c r="B1594" s="21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30</v>
      </c>
      <c r="B1595" s="21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30</v>
      </c>
      <c r="B1596" s="21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30</v>
      </c>
      <c r="B1597" s="21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30</v>
      </c>
      <c r="B1598" s="21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30</v>
      </c>
      <c r="B1599" s="21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30</v>
      </c>
      <c r="B1600" s="21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30</v>
      </c>
      <c r="B1601" s="21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30</v>
      </c>
      <c r="B1602" s="21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30</v>
      </c>
      <c r="B1603" s="21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30</v>
      </c>
      <c r="B1604" s="21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30</v>
      </c>
      <c r="B1605" s="21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30</v>
      </c>
      <c r="B1606" s="21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30</v>
      </c>
      <c r="B1607" s="21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30</v>
      </c>
      <c r="B1608" s="21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30</v>
      </c>
      <c r="B1609" s="21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30</v>
      </c>
      <c r="B1610" s="21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30</v>
      </c>
      <c r="B1611" s="21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30</v>
      </c>
      <c r="B1612" s="21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30</v>
      </c>
      <c r="B1613" s="21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30</v>
      </c>
      <c r="B1614" s="21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30</v>
      </c>
      <c r="B1615" s="21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30</v>
      </c>
      <c r="B1616" s="21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30</v>
      </c>
      <c r="B1617" s="21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30</v>
      </c>
      <c r="B1618" s="21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30</v>
      </c>
      <c r="B1619" s="21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30</v>
      </c>
      <c r="B1620" s="21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30</v>
      </c>
      <c r="B1621" s="21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30</v>
      </c>
      <c r="B1622" s="21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30</v>
      </c>
      <c r="B1623" s="21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30</v>
      </c>
      <c r="B1624" s="21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30</v>
      </c>
      <c r="B1625" s="21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30</v>
      </c>
      <c r="B1626" s="21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30</v>
      </c>
      <c r="B1627" s="21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30</v>
      </c>
      <c r="B1628" s="21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30</v>
      </c>
      <c r="B1629" s="21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30</v>
      </c>
      <c r="B1630" s="21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30</v>
      </c>
      <c r="B1631" s="21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30</v>
      </c>
      <c r="B1632" s="21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30</v>
      </c>
      <c r="B1633" s="21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30</v>
      </c>
      <c r="B1634" s="21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30</v>
      </c>
      <c r="B1635" s="21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30</v>
      </c>
      <c r="B1636" s="21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30</v>
      </c>
      <c r="B1637" s="21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30</v>
      </c>
      <c r="B1638" s="21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30</v>
      </c>
      <c r="B1639" s="21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30</v>
      </c>
      <c r="B1640" s="21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30</v>
      </c>
      <c r="B1641" s="21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30</v>
      </c>
      <c r="B1642" s="21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30</v>
      </c>
      <c r="B1643" s="21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30</v>
      </c>
      <c r="B1644" s="21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30</v>
      </c>
      <c r="B1645" s="21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30</v>
      </c>
      <c r="B1646" s="21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30</v>
      </c>
      <c r="B1647" s="21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30</v>
      </c>
      <c r="B1648" s="21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30</v>
      </c>
      <c r="B1649" s="21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30</v>
      </c>
      <c r="B1650" s="21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30</v>
      </c>
      <c r="B1651" s="21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30</v>
      </c>
      <c r="B1652" s="21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30</v>
      </c>
      <c r="B1653" s="21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30</v>
      </c>
      <c r="B1654" s="21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30</v>
      </c>
      <c r="B1655" s="21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30</v>
      </c>
      <c r="B1656" s="21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30</v>
      </c>
      <c r="B1657" s="21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30</v>
      </c>
      <c r="B1658" s="21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30</v>
      </c>
      <c r="B1659" s="21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30</v>
      </c>
      <c r="B1660" s="21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30</v>
      </c>
      <c r="B1661" s="21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30</v>
      </c>
      <c r="B1662" s="21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30</v>
      </c>
      <c r="B1663" s="21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30</v>
      </c>
      <c r="B1664" s="21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30</v>
      </c>
      <c r="B1665" s="21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30</v>
      </c>
      <c r="B1666" s="21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30</v>
      </c>
      <c r="B1667" s="21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30</v>
      </c>
      <c r="B1668" s="21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30</v>
      </c>
      <c r="B1669" s="21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30</v>
      </c>
      <c r="B1670" s="21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30</v>
      </c>
      <c r="B1671" s="21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30</v>
      </c>
      <c r="B1672" s="21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30</v>
      </c>
      <c r="B1673" s="21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30</v>
      </c>
      <c r="B1674" s="21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30</v>
      </c>
      <c r="B1675" s="21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30</v>
      </c>
      <c r="B1676" s="21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30</v>
      </c>
      <c r="B1677" s="21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30</v>
      </c>
      <c r="B1678" s="21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30</v>
      </c>
      <c r="B1679" s="21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30</v>
      </c>
      <c r="B1680" s="21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30</v>
      </c>
      <c r="B1681" s="21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30</v>
      </c>
      <c r="B1682" s="21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30</v>
      </c>
      <c r="B1683" s="21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30</v>
      </c>
      <c r="B1684" s="21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30</v>
      </c>
      <c r="B1685" s="21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30</v>
      </c>
      <c r="B1686" s="21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30</v>
      </c>
      <c r="B1687" s="21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30</v>
      </c>
      <c r="B1688" s="21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30</v>
      </c>
      <c r="B1689" s="21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30</v>
      </c>
      <c r="B1690" s="21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30</v>
      </c>
      <c r="B1691" s="21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30</v>
      </c>
      <c r="B1692" s="21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30</v>
      </c>
      <c r="B1693" s="21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30</v>
      </c>
      <c r="B1694" s="21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30</v>
      </c>
      <c r="B1695" s="21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30</v>
      </c>
      <c r="B1696" s="21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30</v>
      </c>
      <c r="B1697" s="21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30</v>
      </c>
      <c r="B1698" s="21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30</v>
      </c>
      <c r="B1699" s="21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30</v>
      </c>
      <c r="B1700" s="21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30</v>
      </c>
      <c r="B1701" s="21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30</v>
      </c>
      <c r="B1702" s="21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30</v>
      </c>
      <c r="B1703" s="21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30</v>
      </c>
      <c r="B1704" s="21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30</v>
      </c>
      <c r="B1705" s="21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30</v>
      </c>
      <c r="B1706" s="21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30</v>
      </c>
      <c r="B1707" s="21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30</v>
      </c>
      <c r="B1708" s="21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30</v>
      </c>
      <c r="B1709" s="21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30</v>
      </c>
      <c r="B1710" s="21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30</v>
      </c>
      <c r="B1711" s="21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30</v>
      </c>
      <c r="B1712" s="21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30</v>
      </c>
      <c r="B1713" s="21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30</v>
      </c>
      <c r="B1714" s="21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30</v>
      </c>
      <c r="B1715" s="21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30</v>
      </c>
      <c r="B1716" s="21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30</v>
      </c>
      <c r="B1717" s="21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30</v>
      </c>
      <c r="B1718" s="21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30</v>
      </c>
      <c r="B1719" s="21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30</v>
      </c>
      <c r="B1720" s="21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30</v>
      </c>
      <c r="B1721" s="21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30</v>
      </c>
      <c r="B1722" s="21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30</v>
      </c>
      <c r="B1723" s="21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30</v>
      </c>
      <c r="B1724" s="21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30</v>
      </c>
      <c r="B1725" s="21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30</v>
      </c>
      <c r="B1726" s="21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30</v>
      </c>
      <c r="B1727" s="21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30</v>
      </c>
      <c r="B1728" s="21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30</v>
      </c>
      <c r="B1729" s="21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30</v>
      </c>
      <c r="B1730" s="21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30</v>
      </c>
      <c r="B1731" s="21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30</v>
      </c>
      <c r="B1732" s="21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30</v>
      </c>
      <c r="B1733" s="21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30</v>
      </c>
      <c r="B1734" s="21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30</v>
      </c>
      <c r="B1735" s="21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30</v>
      </c>
      <c r="B1736" s="21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30</v>
      </c>
      <c r="B1737" s="21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30</v>
      </c>
      <c r="B1738" s="21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30</v>
      </c>
      <c r="B1739" s="21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30</v>
      </c>
      <c r="B1740" s="21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30</v>
      </c>
      <c r="B1741" s="21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30</v>
      </c>
      <c r="B1742" s="21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30</v>
      </c>
      <c r="B1743" s="21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30</v>
      </c>
      <c r="B1744" s="21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30</v>
      </c>
      <c r="B1745" s="21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30</v>
      </c>
      <c r="B1746" s="21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30</v>
      </c>
      <c r="B1747" s="21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30</v>
      </c>
      <c r="B1748" s="21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30</v>
      </c>
      <c r="B1749" s="21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30</v>
      </c>
      <c r="B1750" s="21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30</v>
      </c>
      <c r="B1751" s="21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30</v>
      </c>
      <c r="B1752" s="21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30</v>
      </c>
      <c r="B1753" s="21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30</v>
      </c>
      <c r="B1754" s="21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30</v>
      </c>
      <c r="B1755" s="21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30</v>
      </c>
      <c r="B1756" s="21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30</v>
      </c>
      <c r="B1757" s="21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30</v>
      </c>
      <c r="B1758" s="21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30</v>
      </c>
      <c r="B1759" s="21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30</v>
      </c>
      <c r="B1760" s="21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30</v>
      </c>
      <c r="B1761" s="21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30</v>
      </c>
      <c r="B1762" s="21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30</v>
      </c>
      <c r="B1763" s="21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30</v>
      </c>
      <c r="B1764" s="21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30</v>
      </c>
      <c r="B1765" s="21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30</v>
      </c>
      <c r="B1766" s="21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30</v>
      </c>
      <c r="B1767" s="21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30</v>
      </c>
      <c r="B1768" s="21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30</v>
      </c>
      <c r="B1769" s="21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30</v>
      </c>
      <c r="B1770" s="21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30</v>
      </c>
      <c r="B1771" s="21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30</v>
      </c>
      <c r="B1772" s="21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30</v>
      </c>
      <c r="B1773" s="21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30</v>
      </c>
      <c r="B1774" s="21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30</v>
      </c>
      <c r="B1775" s="21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30</v>
      </c>
      <c r="B1776" s="21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30</v>
      </c>
      <c r="B1777" s="21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30</v>
      </c>
      <c r="B1778" s="21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30</v>
      </c>
      <c r="B1779" s="21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30</v>
      </c>
      <c r="B1780" s="21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30</v>
      </c>
      <c r="B1781" s="21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30</v>
      </c>
      <c r="B1782" s="21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30</v>
      </c>
      <c r="B1783" s="21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30</v>
      </c>
      <c r="B1784" s="21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30</v>
      </c>
      <c r="B1785" s="21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30</v>
      </c>
      <c r="B1786" s="21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30</v>
      </c>
      <c r="B1787" s="21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30</v>
      </c>
      <c r="B1788" s="21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30</v>
      </c>
      <c r="B1789" s="21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30</v>
      </c>
      <c r="B1790" s="21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30</v>
      </c>
      <c r="B1791" s="21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30</v>
      </c>
      <c r="B1792" s="21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30</v>
      </c>
      <c r="B1793" s="21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30</v>
      </c>
      <c r="B1794" s="21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30</v>
      </c>
      <c r="B1795" s="21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30</v>
      </c>
      <c r="B1796" s="21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30</v>
      </c>
      <c r="B1797" s="21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30</v>
      </c>
      <c r="B1798" s="21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30</v>
      </c>
      <c r="B1799" s="21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30</v>
      </c>
      <c r="B1800" s="21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30</v>
      </c>
      <c r="B1801" s="21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30</v>
      </c>
      <c r="B1802" s="21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30</v>
      </c>
      <c r="B1803" s="21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30</v>
      </c>
      <c r="B1804" s="21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30</v>
      </c>
      <c r="B1805" s="21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30</v>
      </c>
      <c r="B1806" s="21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30</v>
      </c>
      <c r="B1807" s="21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30</v>
      </c>
      <c r="B1808" s="21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30</v>
      </c>
      <c r="B1809" s="21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30</v>
      </c>
      <c r="B1810" s="21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30</v>
      </c>
      <c r="B1811" s="21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30</v>
      </c>
      <c r="B1812" s="21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30</v>
      </c>
      <c r="B1813" s="21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30</v>
      </c>
      <c r="B1814" s="21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30</v>
      </c>
      <c r="B1815" s="21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30</v>
      </c>
      <c r="B1816" s="21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30</v>
      </c>
      <c r="B1817" s="21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30</v>
      </c>
      <c r="B1818" s="21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30</v>
      </c>
      <c r="B1819" s="21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30</v>
      </c>
      <c r="B1820" s="21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30</v>
      </c>
      <c r="B1821" s="21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30</v>
      </c>
      <c r="B1822" s="21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30</v>
      </c>
      <c r="B1823" s="21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30</v>
      </c>
      <c r="B1824" s="21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30</v>
      </c>
      <c r="B1825" s="21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30</v>
      </c>
      <c r="B1826" s="21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30</v>
      </c>
      <c r="B1827" s="21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30</v>
      </c>
      <c r="B1828" s="21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30</v>
      </c>
      <c r="B1829" s="21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30</v>
      </c>
      <c r="B1830" s="21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30</v>
      </c>
      <c r="B1831" s="21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30</v>
      </c>
      <c r="B1832" s="21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30</v>
      </c>
      <c r="B1833" s="21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30</v>
      </c>
      <c r="B1834" s="21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30</v>
      </c>
      <c r="B1835" s="21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30</v>
      </c>
      <c r="B1836" s="21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30</v>
      </c>
      <c r="B1837" s="21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30</v>
      </c>
      <c r="B1838" s="21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30</v>
      </c>
      <c r="B1839" s="21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30</v>
      </c>
      <c r="B1840" s="21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30</v>
      </c>
      <c r="B1841" s="21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30</v>
      </c>
      <c r="B1842" s="21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30</v>
      </c>
      <c r="B1843" s="21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30</v>
      </c>
      <c r="B1844" s="21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30</v>
      </c>
      <c r="B1845" s="21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30</v>
      </c>
      <c r="B1846" s="21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30</v>
      </c>
      <c r="B1847" s="21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30</v>
      </c>
      <c r="B1848" s="21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30</v>
      </c>
      <c r="B1849" s="21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30</v>
      </c>
      <c r="B1850" s="21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30</v>
      </c>
      <c r="B1851" s="21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30</v>
      </c>
      <c r="B1852" s="21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30</v>
      </c>
      <c r="B1853" s="21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30</v>
      </c>
      <c r="B1854" s="21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30</v>
      </c>
      <c r="B1855" s="21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30</v>
      </c>
      <c r="B1856" s="21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30</v>
      </c>
      <c r="B1857" s="21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30</v>
      </c>
      <c r="B1858" s="21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30</v>
      </c>
      <c r="B1859" s="21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30</v>
      </c>
      <c r="B1860" s="21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30</v>
      </c>
      <c r="B1861" s="21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30</v>
      </c>
      <c r="B1862" s="21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30</v>
      </c>
      <c r="B1863" s="21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30</v>
      </c>
      <c r="B1864" s="21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30</v>
      </c>
      <c r="B1865" s="21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30</v>
      </c>
      <c r="B1866" s="21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30</v>
      </c>
      <c r="B1867" s="21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30</v>
      </c>
      <c r="B1868" s="21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30</v>
      </c>
      <c r="B1869" s="21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30</v>
      </c>
      <c r="B1870" s="21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30</v>
      </c>
      <c r="B1871" s="21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30</v>
      </c>
      <c r="B1872" s="21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30</v>
      </c>
      <c r="B1873" s="21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30</v>
      </c>
      <c r="B1874" s="21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30</v>
      </c>
      <c r="B1875" s="21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30</v>
      </c>
      <c r="B1876" s="21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30</v>
      </c>
      <c r="B1877" s="21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30</v>
      </c>
      <c r="B1878" s="21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30</v>
      </c>
      <c r="B1879" s="21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30</v>
      </c>
      <c r="B1880" s="21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30</v>
      </c>
      <c r="B1881" s="21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30</v>
      </c>
      <c r="B1882" s="21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30</v>
      </c>
      <c r="B1883" s="21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30</v>
      </c>
      <c r="B1884" s="21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30</v>
      </c>
      <c r="B1885" s="21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30</v>
      </c>
      <c r="B1886" s="21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30</v>
      </c>
      <c r="B1887" s="21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30</v>
      </c>
      <c r="B1888" s="21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30</v>
      </c>
      <c r="B1889" s="21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30</v>
      </c>
      <c r="B1890" s="21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30</v>
      </c>
      <c r="B1891" s="21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30</v>
      </c>
      <c r="B1892" s="21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30</v>
      </c>
      <c r="B1893" s="21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30</v>
      </c>
      <c r="B1894" s="21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30</v>
      </c>
      <c r="B1895" s="21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30</v>
      </c>
      <c r="B1896" s="21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30</v>
      </c>
      <c r="B1897" s="21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30</v>
      </c>
      <c r="B1898" s="21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30</v>
      </c>
      <c r="B1899" s="21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30</v>
      </c>
      <c r="B1900" s="21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30</v>
      </c>
      <c r="B1901" s="21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30</v>
      </c>
      <c r="B1902" s="21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30</v>
      </c>
      <c r="B1903" s="21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30</v>
      </c>
      <c r="B1904" s="21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30</v>
      </c>
      <c r="B1905" s="21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30</v>
      </c>
      <c r="B1906" s="21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30</v>
      </c>
      <c r="B1907" s="21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30</v>
      </c>
      <c r="B1908" s="21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30</v>
      </c>
      <c r="B1909" s="21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30</v>
      </c>
      <c r="B1910" s="21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30</v>
      </c>
      <c r="B1911" s="21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30</v>
      </c>
      <c r="B1912" s="21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30</v>
      </c>
      <c r="B1913" s="21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30</v>
      </c>
      <c r="B1914" s="21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30</v>
      </c>
      <c r="B1915" s="21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30</v>
      </c>
      <c r="B1916" s="21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30</v>
      </c>
      <c r="B1917" s="21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30</v>
      </c>
      <c r="B1918" s="21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30</v>
      </c>
      <c r="B1919" s="21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30</v>
      </c>
      <c r="B1920" s="21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30</v>
      </c>
      <c r="B1921" s="21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30</v>
      </c>
      <c r="B1922" s="21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30</v>
      </c>
      <c r="B1923" s="21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30</v>
      </c>
      <c r="B1924" s="21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30</v>
      </c>
      <c r="B1925" s="21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30</v>
      </c>
      <c r="B1926" s="21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30</v>
      </c>
      <c r="B1927" s="21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30</v>
      </c>
      <c r="B1928" s="21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30</v>
      </c>
      <c r="B1929" s="21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30</v>
      </c>
      <c r="B1930" s="21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30</v>
      </c>
      <c r="B1931" s="21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30</v>
      </c>
      <c r="B1932" s="21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30</v>
      </c>
      <c r="B1933" s="21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30</v>
      </c>
      <c r="B1934" s="21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30</v>
      </c>
      <c r="B1935" s="21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30</v>
      </c>
      <c r="B1936" s="21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30</v>
      </c>
      <c r="B1937" s="21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30</v>
      </c>
      <c r="B1938" s="21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30</v>
      </c>
      <c r="B1939" s="21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30</v>
      </c>
      <c r="B1940" s="21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30</v>
      </c>
      <c r="B1941" s="21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30</v>
      </c>
      <c r="B1942" s="21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30</v>
      </c>
      <c r="B1943" s="21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30</v>
      </c>
      <c r="B1944" s="21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30</v>
      </c>
      <c r="B1945" s="21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30</v>
      </c>
      <c r="B1946" s="21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30</v>
      </c>
      <c r="B1947" s="21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30</v>
      </c>
      <c r="B1948" s="21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30</v>
      </c>
      <c r="B1949" s="21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30</v>
      </c>
      <c r="B1950" s="21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30</v>
      </c>
      <c r="B1951" s="21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30</v>
      </c>
      <c r="B1952" s="21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30</v>
      </c>
      <c r="B1953" s="21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30</v>
      </c>
      <c r="B1954" s="21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30</v>
      </c>
      <c r="B1955" s="21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30</v>
      </c>
      <c r="B1956" s="21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30</v>
      </c>
      <c r="B1957" s="21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30</v>
      </c>
      <c r="B1958" s="21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30</v>
      </c>
      <c r="B1959" s="21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30</v>
      </c>
      <c r="B1960" s="21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30</v>
      </c>
      <c r="B1961" s="21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30</v>
      </c>
      <c r="B1962" s="21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30</v>
      </c>
      <c r="B1963" s="21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30</v>
      </c>
      <c r="B1964" s="21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30</v>
      </c>
      <c r="B1965" s="21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30</v>
      </c>
      <c r="B1966" s="21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30</v>
      </c>
      <c r="B1967" s="21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30</v>
      </c>
      <c r="B1968" s="21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30</v>
      </c>
      <c r="B1969" s="21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30</v>
      </c>
      <c r="B1970" s="21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30</v>
      </c>
      <c r="B1971" s="21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30</v>
      </c>
      <c r="B1972" s="21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30</v>
      </c>
      <c r="B1973" s="21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30</v>
      </c>
      <c r="B1974" s="21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30</v>
      </c>
      <c r="B1975" s="21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30</v>
      </c>
      <c r="B1976" s="21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30</v>
      </c>
      <c r="B1977" s="21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30</v>
      </c>
      <c r="B1978" s="21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30</v>
      </c>
      <c r="B1979" s="21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30</v>
      </c>
      <c r="B1980" s="21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30</v>
      </c>
      <c r="B1981" s="21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30</v>
      </c>
      <c r="B1982" s="21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30</v>
      </c>
      <c r="B1983" s="21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30</v>
      </c>
      <c r="B1984" s="21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30</v>
      </c>
      <c r="B1985" s="21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30</v>
      </c>
      <c r="B1986" s="21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30</v>
      </c>
      <c r="B1987" s="21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30</v>
      </c>
      <c r="B1988" s="21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30</v>
      </c>
      <c r="B1989" s="21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30</v>
      </c>
      <c r="B1990" s="21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30</v>
      </c>
      <c r="B1991" s="21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30</v>
      </c>
      <c r="B1992" s="21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30</v>
      </c>
      <c r="B1993" s="21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30</v>
      </c>
      <c r="B1994" s="21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30</v>
      </c>
      <c r="B1995" s="21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30</v>
      </c>
      <c r="B1996" s="21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30</v>
      </c>
      <c r="B1997" s="21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30</v>
      </c>
      <c r="B1998" s="21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30</v>
      </c>
      <c r="B1999" s="21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30</v>
      </c>
      <c r="B2000" s="21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30</v>
      </c>
      <c r="B2001" s="21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30</v>
      </c>
      <c r="B2002" s="21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30</v>
      </c>
      <c r="B2003" s="21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30</v>
      </c>
      <c r="B2004" s="21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30</v>
      </c>
      <c r="B2005" s="21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30</v>
      </c>
      <c r="B2006" s="21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30</v>
      </c>
      <c r="B2007" s="21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30</v>
      </c>
      <c r="B2008" s="21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30</v>
      </c>
      <c r="B2009" s="21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30</v>
      </c>
      <c r="B2010" s="21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30</v>
      </c>
      <c r="B2011" s="21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30</v>
      </c>
      <c r="B2012" s="21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30</v>
      </c>
      <c r="B2013" s="21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30</v>
      </c>
      <c r="B2014" s="21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30</v>
      </c>
      <c r="B2015" s="21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30</v>
      </c>
      <c r="B2016" s="21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30</v>
      </c>
      <c r="B2017" s="21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30</v>
      </c>
      <c r="B2018" s="21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30</v>
      </c>
      <c r="B2019" s="21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30</v>
      </c>
      <c r="B2020" s="21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30</v>
      </c>
      <c r="B2021" s="21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30</v>
      </c>
      <c r="B2022" s="21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30</v>
      </c>
      <c r="B2023" s="21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30</v>
      </c>
      <c r="B2024" s="21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30</v>
      </c>
      <c r="B2025" s="21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30</v>
      </c>
      <c r="B2026" s="21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30</v>
      </c>
      <c r="B2027" s="21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30</v>
      </c>
      <c r="B2028" s="21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30</v>
      </c>
      <c r="B2029" s="21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30</v>
      </c>
      <c r="B2030" s="21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30</v>
      </c>
      <c r="B2031" s="21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30</v>
      </c>
      <c r="B2032" s="21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30</v>
      </c>
      <c r="B2033" s="21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30</v>
      </c>
      <c r="B2034" s="21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30</v>
      </c>
      <c r="B2035" s="21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30</v>
      </c>
      <c r="B2036" s="21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30</v>
      </c>
      <c r="B2037" s="21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30</v>
      </c>
      <c r="B2038" s="21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30</v>
      </c>
      <c r="B2039" s="21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30</v>
      </c>
      <c r="B2040" s="21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30</v>
      </c>
      <c r="B2041" s="21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30</v>
      </c>
      <c r="B2042" s="21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30</v>
      </c>
      <c r="B2043" s="21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30</v>
      </c>
      <c r="B2044" s="21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30</v>
      </c>
      <c r="B2045" s="21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30</v>
      </c>
      <c r="B2046" s="21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30</v>
      </c>
      <c r="B2047" s="21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30</v>
      </c>
      <c r="B2048" s="21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30</v>
      </c>
      <c r="B2049" s="21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30</v>
      </c>
      <c r="B2050" s="21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30</v>
      </c>
      <c r="B2051" s="21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30</v>
      </c>
      <c r="B2052" s="21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30</v>
      </c>
      <c r="B2053" s="21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30</v>
      </c>
      <c r="B2054" s="21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30</v>
      </c>
      <c r="B2055" s="21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30</v>
      </c>
      <c r="B2056" s="21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30</v>
      </c>
      <c r="B2057" s="21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30</v>
      </c>
      <c r="B2058" s="21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30</v>
      </c>
      <c r="B2059" s="21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30</v>
      </c>
      <c r="B2060" s="21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30</v>
      </c>
      <c r="B2061" s="21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30</v>
      </c>
      <c r="B2062" s="21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30</v>
      </c>
      <c r="B2063" s="21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30</v>
      </c>
      <c r="B2064" s="21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30</v>
      </c>
      <c r="B2065" s="21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30</v>
      </c>
      <c r="B2066" s="21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30</v>
      </c>
      <c r="B2067" s="21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30</v>
      </c>
      <c r="B2068" s="21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30</v>
      </c>
      <c r="B2069" s="21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30</v>
      </c>
      <c r="B2070" s="21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30</v>
      </c>
      <c r="B2071" s="21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30</v>
      </c>
      <c r="B2072" s="21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30</v>
      </c>
      <c r="B2073" s="21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30</v>
      </c>
      <c r="B2074" s="21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30</v>
      </c>
      <c r="B2075" s="21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30</v>
      </c>
      <c r="B2076" s="21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30</v>
      </c>
      <c r="B2077" s="21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30</v>
      </c>
      <c r="B2078" s="21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30</v>
      </c>
      <c r="B2079" s="21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30</v>
      </c>
      <c r="B2080" s="21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30</v>
      </c>
      <c r="B2081" s="21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30</v>
      </c>
      <c r="B2082" s="21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30</v>
      </c>
      <c r="B2083" s="21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30</v>
      </c>
      <c r="B2084" s="21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30</v>
      </c>
      <c r="B2085" s="21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30</v>
      </c>
      <c r="B2086" s="21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30</v>
      </c>
      <c r="B2087" s="21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30</v>
      </c>
      <c r="B2088" s="21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30</v>
      </c>
      <c r="B2089" s="21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30</v>
      </c>
      <c r="B2090" s="21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30</v>
      </c>
      <c r="B2091" s="21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30</v>
      </c>
      <c r="B2092" s="21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30</v>
      </c>
      <c r="B2093" s="21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30</v>
      </c>
      <c r="B2094" s="21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Scenario Analysis</vt:lpstr>
      <vt:lpstr>Electricity Calculations</vt:lpstr>
      <vt:lpstr>ETH Price History</vt:lpstr>
      <vt:lpstr>Bear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2021-05-28T22:12:47Z</cp:lastPrinted>
  <dcterms:created xsi:type="dcterms:W3CDTF">2021-03-17T05:33:13Z</dcterms:created>
  <dcterms:modified xsi:type="dcterms:W3CDTF">2021-06-17T02:00:42Z</dcterms:modified>
</cp:coreProperties>
</file>