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903AF1BC-2641-4B45-8C6C-429587514CDF}" xr6:coauthVersionLast="47" xr6:coauthVersionMax="47" xr10:uidLastSave="{00000000-0000-0000-0000-000000000000}"/>
  <bookViews>
    <workbookView xWindow="4755" yWindow="3795" windowWidth="28800" windowHeight="15375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3" l="1"/>
  <c r="L4" i="3"/>
  <c r="C28" i="9"/>
  <c r="F28" i="9"/>
  <c r="C30" i="9" s="1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L5" i="7" l="1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N34" i="7" l="1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K16" i="3" s="1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G29" i="7" l="1"/>
  <c r="I36" i="7"/>
  <c r="R29" i="7"/>
  <c r="G15" i="3"/>
  <c r="G36" i="7"/>
  <c r="G15" i="7"/>
  <c r="L22" i="7"/>
  <c r="D29" i="7"/>
  <c r="K15" i="3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<sst xmlns="http://schemas.openxmlformats.org/spreadsheetml/2006/main" count="2292" uniqueCount="116">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</sst>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R14" sqref="R14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6">
        <v>44435</v>
      </c>
      <c r="C2" s="127"/>
    </row>
    <row r="3" spans="1:23" ht="15.75" thickBot="1" x14ac:dyDescent="0.3">
      <c r="D3" s="1"/>
      <c r="H3" s="1"/>
    </row>
    <row r="4" spans="1:23" ht="15.75" thickBot="1" x14ac:dyDescent="0.3">
      <c r="A4" s="132" t="s">
        <v>46</v>
      </c>
      <c r="B4" s="133"/>
      <c r="C4" s="58">
        <v>649.08600000000001</v>
      </c>
      <c r="D4" s="1"/>
      <c r="H4" s="1"/>
    </row>
    <row r="5" spans="1:23" ht="15.75" thickBot="1" x14ac:dyDescent="0.3">
      <c r="A5" s="128" t="s">
        <v>115</v>
      </c>
      <c r="B5" s="129"/>
      <c r="C5" s="57">
        <v>4122.66</v>
      </c>
    </row>
    <row r="6" spans="1:23" s="6" customFormat="1" ht="15.75" thickBot="1" x14ac:dyDescent="0.3">
      <c r="A6" s="128" t="s">
        <v>111</v>
      </c>
      <c r="B6" s="129"/>
      <c r="C6" s="57">
        <v>15275</v>
      </c>
    </row>
    <row r="7" spans="1:23" s="6" customFormat="1" ht="15.75" thickBot="1" x14ac:dyDescent="0.3">
      <c r="A7" s="130" t="s">
        <v>114</v>
      </c>
      <c r="B7" s="131"/>
      <c r="C7" s="57">
        <v>6431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500</v>
      </c>
      <c r="C12" s="104">
        <v>500</v>
      </c>
      <c r="D12" s="104">
        <v>550</v>
      </c>
      <c r="E12" s="104">
        <v>850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/>
      <c r="O12" s="104">
        <v>1200</v>
      </c>
      <c r="P12" s="104">
        <v>1000</v>
      </c>
      <c r="Q12" s="104">
        <v>1500</v>
      </c>
      <c r="R12" s="104"/>
      <c r="S12" s="104"/>
      <c r="T12" s="104">
        <v>1850</v>
      </c>
      <c r="U12" s="125"/>
      <c r="V12" s="125"/>
      <c r="W12" s="65">
        <v>2777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R20" sqref="R20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0" t="s">
        <v>78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30" s="6" customFormat="1" x14ac:dyDescent="0.25">
      <c r="A2" s="155" t="s">
        <v>44</v>
      </c>
      <c r="B2" s="155"/>
      <c r="C2" s="126">
        <f>'Card Data'!$B$2</f>
        <v>44435</v>
      </c>
      <c r="D2" s="127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4122.66</v>
      </c>
      <c r="I4" s="1"/>
      <c r="J4" s="150" t="s">
        <v>113</v>
      </c>
      <c r="K4" s="151"/>
      <c r="L4" s="57">
        <f>'Card Data'!$C$7</f>
        <v>6431</v>
      </c>
      <c r="N4" s="132" t="s">
        <v>48</v>
      </c>
      <c r="O4" s="133"/>
      <c r="P4" s="152">
        <f>$L$4*$L$5*$H$4/$D$5/10000</f>
        <v>9.7018933546556223</v>
      </c>
    </row>
    <row r="5" spans="1:30" s="6" customFormat="1" ht="15.75" thickBot="1" x14ac:dyDescent="0.3">
      <c r="A5" s="135"/>
      <c r="B5" s="150" t="s">
        <v>46</v>
      </c>
      <c r="C5" s="151"/>
      <c r="D5" s="58">
        <f>'Card Data'!$C$4</f>
        <v>649.08600000000001</v>
      </c>
      <c r="E5" s="1"/>
      <c r="F5" s="150" t="s">
        <v>112</v>
      </c>
      <c r="G5" s="151"/>
      <c r="H5" s="57">
        <f>'Card Data'!$C$6</f>
        <v>15275</v>
      </c>
      <c r="I5" s="1"/>
      <c r="J5" s="150" t="s">
        <v>39</v>
      </c>
      <c r="K5" s="151"/>
      <c r="L5" s="59">
        <f>$H$5/$L$4</f>
        <v>2.3752138081169334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5"/>
      <c r="V6"/>
      <c r="W6"/>
      <c r="X6"/>
      <c r="Y6"/>
      <c r="Z6"/>
      <c r="AA6"/>
      <c r="AB6"/>
      <c r="AC6"/>
      <c r="AD6"/>
    </row>
    <row r="7" spans="1:30" ht="15.75" thickBot="1" x14ac:dyDescent="0.3">
      <c r="A7" s="135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5"/>
      <c r="B8" s="26" t="s">
        <v>51</v>
      </c>
      <c r="C8" s="61">
        <f>$P$4*C9/100</f>
        <v>2.9105680063966868</v>
      </c>
      <c r="D8" s="83">
        <f>$P$4*D9/100</f>
        <v>3.0949039801351432</v>
      </c>
      <c r="E8" s="27">
        <f t="shared" ref="E8:R8" si="0">$P$4*E9/100</f>
        <v>3.2986437405829117</v>
      </c>
      <c r="F8" s="27">
        <f t="shared" si="0"/>
        <v>4.4628709431415867</v>
      </c>
      <c r="G8" s="27">
        <f t="shared" si="0"/>
        <v>2.9105680063966868</v>
      </c>
      <c r="H8" s="27">
        <f t="shared" si="0"/>
        <v>3.104605873489799</v>
      </c>
      <c r="I8" s="27">
        <f t="shared" si="0"/>
        <v>4.0990499423420008</v>
      </c>
      <c r="J8" s="27">
        <f t="shared" si="0"/>
        <v>4.2688330760484741</v>
      </c>
      <c r="K8" s="27">
        <f t="shared" si="0"/>
        <v>4.1718141425019182</v>
      </c>
      <c r="L8" s="27">
        <f t="shared" si="0"/>
        <v>4.1718141425019182</v>
      </c>
      <c r="M8" s="27">
        <f t="shared" si="0"/>
        <v>4.0941989956646729</v>
      </c>
      <c r="N8" s="27">
        <f t="shared" si="0"/>
        <v>5.7435208659561283</v>
      </c>
      <c r="O8" s="27">
        <f t="shared" si="0"/>
        <v>5.8696454795666515</v>
      </c>
      <c r="P8" s="27">
        <f t="shared" si="0"/>
        <v>5.8754666155794446</v>
      </c>
      <c r="Q8" s="27">
        <f t="shared" si="0"/>
        <v>9.0227608198297293</v>
      </c>
      <c r="R8" s="28">
        <f t="shared" si="0"/>
        <v>11.642272025586747</v>
      </c>
    </row>
    <row r="9" spans="1:30" x14ac:dyDescent="0.25">
      <c r="A9" s="135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35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5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5"/>
      <c r="B12" s="29" t="s">
        <v>52</v>
      </c>
      <c r="C12" s="33">
        <f t="shared" ref="C12:R12" si="2">C8-C11</f>
        <v>2.6132080063966869</v>
      </c>
      <c r="D12" s="87">
        <f t="shared" ref="D12" si="3">D8-D11</f>
        <v>2.7603739801351432</v>
      </c>
      <c r="E12" s="34">
        <f t="shared" si="2"/>
        <v>2.9641137405829117</v>
      </c>
      <c r="F12" s="34">
        <f t="shared" si="2"/>
        <v>3.868150943141587</v>
      </c>
      <c r="G12" s="34">
        <f t="shared" ref="G12" si="4">G8-G11</f>
        <v>2.6875480063966868</v>
      </c>
      <c r="H12" s="34">
        <f>H8-H11</f>
        <v>2.881585873489799</v>
      </c>
      <c r="I12" s="34">
        <f t="shared" si="2"/>
        <v>3.8264699423420008</v>
      </c>
      <c r="J12" s="34">
        <f t="shared" si="2"/>
        <v>3.9714730760484742</v>
      </c>
      <c r="K12" s="34">
        <f t="shared" si="2"/>
        <v>3.862064142501918</v>
      </c>
      <c r="L12" s="34">
        <f t="shared" si="2"/>
        <v>3.9041901425019181</v>
      </c>
      <c r="M12" s="34">
        <f t="shared" si="2"/>
        <v>3.747278995664673</v>
      </c>
      <c r="N12" s="34">
        <f t="shared" si="2"/>
        <v>5.1735808659561284</v>
      </c>
      <c r="O12" s="34">
        <f t="shared" si="2"/>
        <v>5.5722854795666512</v>
      </c>
      <c r="P12" s="34">
        <f t="shared" si="2"/>
        <v>5.5781066155794443</v>
      </c>
      <c r="Q12" s="34">
        <f t="shared" si="2"/>
        <v>8.3784808198297291</v>
      </c>
      <c r="R12" s="35">
        <f t="shared" si="2"/>
        <v>10.936042025586747</v>
      </c>
    </row>
    <row r="13" spans="1:30" ht="17.25" x14ac:dyDescent="0.25">
      <c r="A13" s="135"/>
      <c r="B13" s="15" t="s">
        <v>53</v>
      </c>
      <c r="C13" s="19">
        <f>INDEX('Card Data'!$12:$12,MATCH('Nvidia Analysis'!C$7,'Card Data'!$9:$9,0))</f>
        <v>500</v>
      </c>
      <c r="D13" s="88">
        <f>INDEX('Card Data'!$12:$12,MATCH('Nvidia Analysis'!D$7,'Card Data'!$9:$9,0))</f>
        <v>500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1500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5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251.85185185185182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35"/>
      <c r="B15" s="15" t="s">
        <v>54</v>
      </c>
      <c r="C15" s="39">
        <f t="shared" ref="C15:D15" si="6">C13/C12</f>
        <v>191.33570644819906</v>
      </c>
      <c r="D15" s="90">
        <f t="shared" si="6"/>
        <v>181.13487650521935</v>
      </c>
      <c r="E15" s="40">
        <f t="shared" ref="E15:R15" si="7">E13/E12</f>
        <v>185.55293356989702</v>
      </c>
      <c r="F15" s="40">
        <f t="shared" si="7"/>
        <v>219.7432345568339</v>
      </c>
      <c r="G15" s="40">
        <f t="shared" ref="G15" si="8">G13/G12</f>
        <v>186.04318836721799</v>
      </c>
      <c r="H15" s="40">
        <f t="shared" si="7"/>
        <v>277.62490348106297</v>
      </c>
      <c r="I15" s="40">
        <f t="shared" si="7"/>
        <v>248.2706030139492</v>
      </c>
      <c r="J15" s="40">
        <f t="shared" si="7"/>
        <v>251.7957394778507</v>
      </c>
      <c r="K15" s="40">
        <f t="shared" si="7"/>
        <v>258.92889478323917</v>
      </c>
      <c r="L15" s="40">
        <f t="shared" si="7"/>
        <v>256.13506604449623</v>
      </c>
      <c r="M15" s="40">
        <f t="shared" si="7"/>
        <v>266.86030080944778</v>
      </c>
      <c r="N15" s="40">
        <f t="shared" si="7"/>
        <v>231.94766470094177</v>
      </c>
      <c r="O15" s="40">
        <f t="shared" si="7"/>
        <v>215.35149345817837</v>
      </c>
      <c r="P15" s="40">
        <f t="shared" si="7"/>
        <v>268.90844929542146</v>
      </c>
      <c r="Q15" s="40">
        <f t="shared" si="7"/>
        <v>220.8037518712845</v>
      </c>
      <c r="R15" s="41">
        <f t="shared" si="7"/>
        <v>253.93099198985627</v>
      </c>
    </row>
    <row r="16" spans="1:30" ht="18" thickBot="1" x14ac:dyDescent="0.3">
      <c r="A16" s="135"/>
      <c r="B16" s="8" t="s">
        <v>40</v>
      </c>
      <c r="C16" s="36">
        <f>IFERROR(C12*365/C13,"N/A")</f>
        <v>1.9076418446695813</v>
      </c>
      <c r="D16" s="91">
        <f t="shared" ref="D16:R16" si="9">IFERROR(D12*365/D13,"N/A")</f>
        <v>2.0150730054986545</v>
      </c>
      <c r="E16" s="37">
        <f t="shared" si="9"/>
        <v>1.9670936642050232</v>
      </c>
      <c r="F16" s="37">
        <f t="shared" si="9"/>
        <v>1.6610295226431522</v>
      </c>
      <c r="G16" s="37">
        <f t="shared" si="9"/>
        <v>1.9619100446695814</v>
      </c>
      <c r="H16" s="37">
        <f t="shared" si="9"/>
        <v>1.3147235547797209</v>
      </c>
      <c r="I16" s="37">
        <f t="shared" si="9"/>
        <v>1.4701700304787688</v>
      </c>
      <c r="J16" s="37">
        <f t="shared" si="9"/>
        <v>1.4495876727576931</v>
      </c>
      <c r="K16" s="37">
        <f t="shared" si="9"/>
        <v>1.4096534120132</v>
      </c>
      <c r="L16" s="37">
        <f t="shared" si="9"/>
        <v>1.4250294020132002</v>
      </c>
      <c r="M16" s="37">
        <f t="shared" si="9"/>
        <v>1.3677568334176056</v>
      </c>
      <c r="N16" s="37">
        <f t="shared" si="9"/>
        <v>1.5736308467283224</v>
      </c>
      <c r="O16" s="37">
        <f t="shared" si="9"/>
        <v>1.6949035000348565</v>
      </c>
      <c r="P16" s="37">
        <f t="shared" si="9"/>
        <v>1.3573392764576646</v>
      </c>
      <c r="Q16" s="37">
        <f t="shared" si="9"/>
        <v>1.6530516212096493</v>
      </c>
      <c r="R16" s="38">
        <f t="shared" si="9"/>
        <v>1.437398393712338</v>
      </c>
    </row>
    <row r="17" spans="1:30" s="6" customFormat="1" x14ac:dyDescent="0.25">
      <c r="A17" s="135"/>
      <c r="B17" s="141" t="s">
        <v>41</v>
      </c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3"/>
      <c r="V17"/>
      <c r="W17"/>
      <c r="X17"/>
      <c r="Y17"/>
      <c r="Z17"/>
      <c r="AA17"/>
      <c r="AB17"/>
      <c r="AC17"/>
      <c r="AD17"/>
    </row>
    <row r="18" spans="1:30" ht="15.75" x14ac:dyDescent="0.25">
      <c r="A18" s="135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36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34" t="s">
        <v>18</v>
      </c>
      <c r="B21" s="108" t="s">
        <v>33</v>
      </c>
      <c r="C21" s="60">
        <f>1-2/$L$5</f>
        <v>0.15797054009819955</v>
      </c>
      <c r="D21" s="92"/>
    </row>
    <row r="22" spans="1:30" ht="15.75" customHeight="1" thickBot="1" x14ac:dyDescent="0.3">
      <c r="A22" s="135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5"/>
      <c r="B23" s="42" t="s">
        <v>35</v>
      </c>
      <c r="C23" s="43">
        <f t="shared" ref="C23:R23" si="11">C$8*(1-$C$21)</f>
        <v>2.4507840064336621</v>
      </c>
      <c r="D23" s="93">
        <f t="shared" si="11"/>
        <v>2.6060003268411274</v>
      </c>
      <c r="E23" s="44">
        <f t="shared" si="11"/>
        <v>2.777555207291484</v>
      </c>
      <c r="F23" s="44">
        <f t="shared" si="11"/>
        <v>3.7578688098649491</v>
      </c>
      <c r="G23" s="44">
        <f t="shared" si="11"/>
        <v>2.4507840064336621</v>
      </c>
      <c r="H23" s="44">
        <f t="shared" si="11"/>
        <v>2.614169606862573</v>
      </c>
      <c r="I23" s="44">
        <f t="shared" si="11"/>
        <v>3.4515208090607414</v>
      </c>
      <c r="J23" s="44">
        <f t="shared" si="11"/>
        <v>3.5944832094360382</v>
      </c>
      <c r="K23" s="44">
        <f t="shared" si="11"/>
        <v>3.5127904092215831</v>
      </c>
      <c r="L23" s="44">
        <f t="shared" si="11"/>
        <v>3.5127904092215831</v>
      </c>
      <c r="M23" s="44">
        <f t="shared" si="11"/>
        <v>3.4474361690500186</v>
      </c>
      <c r="N23" s="44">
        <f t="shared" si="11"/>
        <v>4.8362137726957597</v>
      </c>
      <c r="O23" s="44">
        <f t="shared" si="11"/>
        <v>4.9424144129745518</v>
      </c>
      <c r="P23" s="44">
        <f t="shared" si="11"/>
        <v>4.947315980987419</v>
      </c>
      <c r="Q23" s="44">
        <f t="shared" si="11"/>
        <v>7.5974304199443532</v>
      </c>
      <c r="R23" s="45">
        <f t="shared" si="11"/>
        <v>9.8031360257346485</v>
      </c>
    </row>
    <row r="24" spans="1:30" x14ac:dyDescent="0.25">
      <c r="A24" s="135"/>
      <c r="B24" s="22" t="s">
        <v>17</v>
      </c>
      <c r="C24" s="50">
        <f t="shared" ref="C24:R24" si="12">C23-C$11</f>
        <v>2.1534240064336623</v>
      </c>
      <c r="D24" s="94">
        <f t="shared" ref="D24" si="13">D23-D$11</f>
        <v>2.2714703268411274</v>
      </c>
      <c r="E24" s="51">
        <f t="shared" si="12"/>
        <v>2.443025207291484</v>
      </c>
      <c r="F24" s="51">
        <f t="shared" si="12"/>
        <v>3.163148809864949</v>
      </c>
      <c r="G24" s="51">
        <f t="shared" ref="G24" si="14">G23-G$11</f>
        <v>2.2277640064336621</v>
      </c>
      <c r="H24" s="51">
        <f t="shared" si="12"/>
        <v>2.3911496068625731</v>
      </c>
      <c r="I24" s="51">
        <f t="shared" si="12"/>
        <v>3.1789408090607414</v>
      </c>
      <c r="J24" s="51">
        <f t="shared" si="12"/>
        <v>3.2971232094360383</v>
      </c>
      <c r="K24" s="51">
        <f t="shared" si="12"/>
        <v>3.2030404092215834</v>
      </c>
      <c r="L24" s="51">
        <f t="shared" si="12"/>
        <v>3.2451664092215831</v>
      </c>
      <c r="M24" s="51">
        <f t="shared" si="12"/>
        <v>3.1005161690500187</v>
      </c>
      <c r="N24" s="51">
        <f t="shared" si="12"/>
        <v>4.2662737726957598</v>
      </c>
      <c r="O24" s="51">
        <f t="shared" si="12"/>
        <v>4.6450544129745515</v>
      </c>
      <c r="P24" s="51">
        <f t="shared" si="12"/>
        <v>4.6499559809874187</v>
      </c>
      <c r="Q24" s="51">
        <f t="shared" si="12"/>
        <v>6.953150419944353</v>
      </c>
      <c r="R24" s="52">
        <f t="shared" si="12"/>
        <v>9.0969060257346488</v>
      </c>
    </row>
    <row r="25" spans="1:30" x14ac:dyDescent="0.25">
      <c r="A25" s="135"/>
      <c r="B25" s="46" t="s">
        <v>15</v>
      </c>
      <c r="C25" s="47">
        <f t="shared" ref="C25:R25" si="15">IF(C24&gt;0,C$13/C24,"N/A")</f>
        <v>232.18836536890944</v>
      </c>
      <c r="D25" s="95">
        <f t="shared" ref="D25" si="16">IF(D24&gt;0,D$13/D24,"N/A")</f>
        <v>220.12173969066836</v>
      </c>
      <c r="E25" s="48">
        <f t="shared" si="15"/>
        <v>225.13071021881518</v>
      </c>
      <c r="F25" s="48">
        <f t="shared" si="15"/>
        <v>268.71957378328051</v>
      </c>
      <c r="G25" s="48">
        <f t="shared" ref="G25" si="17">IF(G24&gt;0,G$13/G24,"N/A")</f>
        <v>224.44029015462456</v>
      </c>
      <c r="H25" s="48">
        <f t="shared" si="15"/>
        <v>334.56710433509005</v>
      </c>
      <c r="I25" s="48">
        <f t="shared" si="15"/>
        <v>298.84167622507249</v>
      </c>
      <c r="J25" s="48">
        <f t="shared" si="15"/>
        <v>303.29470161688215</v>
      </c>
      <c r="K25" s="48">
        <f t="shared" si="15"/>
        <v>312.20336687635614</v>
      </c>
      <c r="L25" s="48">
        <f t="shared" si="15"/>
        <v>308.15060736434458</v>
      </c>
      <c r="M25" s="48">
        <f t="shared" si="15"/>
        <v>322.52694244339148</v>
      </c>
      <c r="N25" s="48">
        <f t="shared" si="15"/>
        <v>281.2759011575921</v>
      </c>
      <c r="O25" s="48">
        <f t="shared" si="15"/>
        <v>258.33927728557148</v>
      </c>
      <c r="P25" s="48">
        <f t="shared" si="15"/>
        <v>322.58369888513971</v>
      </c>
      <c r="Q25" s="48">
        <f t="shared" si="15"/>
        <v>266.06644301746684</v>
      </c>
      <c r="R25" s="49">
        <f t="shared" si="15"/>
        <v>305.26862563425624</v>
      </c>
    </row>
    <row r="26" spans="1:30" ht="15.75" thickBot="1" x14ac:dyDescent="0.3">
      <c r="A26" s="135"/>
      <c r="B26" s="53" t="s">
        <v>16</v>
      </c>
      <c r="C26" s="54">
        <f>IFERROR(C24*365/C$13,"N/A")</f>
        <v>1.5719995246965734</v>
      </c>
      <c r="D26" s="96">
        <f t="shared" ref="D26:R26" si="18">IFERROR(D24*365/D$13,"N/A")</f>
        <v>1.6581733385940229</v>
      </c>
      <c r="E26" s="55">
        <f t="shared" si="18"/>
        <v>1.6212803648388938</v>
      </c>
      <c r="F26" s="55">
        <f t="shared" si="18"/>
        <v>1.3582933124714194</v>
      </c>
      <c r="G26" s="55">
        <f t="shared" si="18"/>
        <v>1.6262677246965733</v>
      </c>
      <c r="H26" s="55">
        <f t="shared" si="18"/>
        <v>1.0909620081310489</v>
      </c>
      <c r="I26" s="55">
        <f t="shared" si="18"/>
        <v>1.221382521375969</v>
      </c>
      <c r="J26" s="55">
        <f t="shared" si="18"/>
        <v>1.203449971444154</v>
      </c>
      <c r="K26" s="55">
        <f t="shared" si="18"/>
        <v>1.169109749365878</v>
      </c>
      <c r="L26" s="55">
        <f t="shared" si="18"/>
        <v>1.1844857393658779</v>
      </c>
      <c r="M26" s="55">
        <f t="shared" si="18"/>
        <v>1.1316884017032569</v>
      </c>
      <c r="N26" s="55">
        <f t="shared" si="18"/>
        <v>1.2976582725282935</v>
      </c>
      <c r="O26" s="55">
        <f t="shared" si="18"/>
        <v>1.4128707172797594</v>
      </c>
      <c r="P26" s="55">
        <f t="shared" si="18"/>
        <v>1.1314892887069385</v>
      </c>
      <c r="Q26" s="55">
        <f t="shared" si="18"/>
        <v>1.3718377855565884</v>
      </c>
      <c r="R26" s="56">
        <f t="shared" si="18"/>
        <v>1.1956682388884217</v>
      </c>
    </row>
    <row r="27" spans="1:30" ht="108.75" customHeight="1" thickBot="1" x14ac:dyDescent="0.3">
      <c r="A27" s="136"/>
      <c r="B27" s="137" t="s">
        <v>38</v>
      </c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9"/>
    </row>
    <row r="28" spans="1:30" ht="15.75" thickBot="1" x14ac:dyDescent="0.3"/>
    <row r="29" spans="1:30" ht="15.75" thickBot="1" x14ac:dyDescent="0.3">
      <c r="A29" s="134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5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5"/>
      <c r="B31" s="42" t="s">
        <v>35</v>
      </c>
      <c r="C31" s="43">
        <f t="shared" ref="C31:R31" si="20">C$8*(1-$C$29)</f>
        <v>0.17194102813588985</v>
      </c>
      <c r="D31" s="93">
        <f t="shared" si="20"/>
        <v>0.18283062658449617</v>
      </c>
      <c r="E31" s="44">
        <f t="shared" si="20"/>
        <v>0.19486649855400848</v>
      </c>
      <c r="F31" s="44">
        <f t="shared" si="20"/>
        <v>0.26364290980836441</v>
      </c>
      <c r="G31" s="44">
        <f t="shared" si="20"/>
        <v>0.17194102813588985</v>
      </c>
      <c r="H31" s="44">
        <f t="shared" si="20"/>
        <v>0.18340376334494915</v>
      </c>
      <c r="I31" s="44">
        <f t="shared" si="20"/>
        <v>0.24215028129137819</v>
      </c>
      <c r="J31" s="44">
        <f t="shared" si="20"/>
        <v>0.25218017459930508</v>
      </c>
      <c r="K31" s="44">
        <f t="shared" si="20"/>
        <v>0.24644880699477548</v>
      </c>
      <c r="L31" s="44">
        <f t="shared" si="20"/>
        <v>0.24644880699477548</v>
      </c>
      <c r="M31" s="44">
        <f t="shared" si="20"/>
        <v>0.24186371291115172</v>
      </c>
      <c r="N31" s="44">
        <f t="shared" si="20"/>
        <v>0.33929696218815592</v>
      </c>
      <c r="O31" s="44">
        <f t="shared" si="20"/>
        <v>0.34674774007404452</v>
      </c>
      <c r="P31" s="44">
        <f t="shared" si="20"/>
        <v>0.34709162213031625</v>
      </c>
      <c r="Q31" s="44">
        <f t="shared" si="20"/>
        <v>0.53301718722125857</v>
      </c>
      <c r="R31" s="45">
        <f t="shared" si="20"/>
        <v>0.6877641125435594</v>
      </c>
    </row>
    <row r="32" spans="1:30" x14ac:dyDescent="0.25">
      <c r="A32" s="135"/>
      <c r="B32" s="22" t="s">
        <v>17</v>
      </c>
      <c r="C32" s="50">
        <f t="shared" ref="C32:R32" si="21">C31-C$11</f>
        <v>-0.12541897186411011</v>
      </c>
      <c r="D32" s="94">
        <f t="shared" ref="D32" si="22">D31-D$11</f>
        <v>-0.15169937341550388</v>
      </c>
      <c r="E32" s="51">
        <f t="shared" si="21"/>
        <v>-0.13966350144599157</v>
      </c>
      <c r="F32" s="51">
        <f t="shared" si="21"/>
        <v>-0.3310770901916355</v>
      </c>
      <c r="G32" s="51">
        <f t="shared" ref="G32" si="23">G31-G$11</f>
        <v>-5.1078971864110145E-2</v>
      </c>
      <c r="H32" s="51">
        <f t="shared" si="21"/>
        <v>-3.9616236655050846E-2</v>
      </c>
      <c r="I32" s="51">
        <f t="shared" si="21"/>
        <v>-3.0429718708621795E-2</v>
      </c>
      <c r="J32" s="51">
        <f t="shared" si="21"/>
        <v>-4.5179825400694873E-2</v>
      </c>
      <c r="K32" s="51">
        <f t="shared" si="21"/>
        <v>-6.3301193005224493E-2</v>
      </c>
      <c r="L32" s="51">
        <f t="shared" si="21"/>
        <v>-2.1175193005224496E-2</v>
      </c>
      <c r="M32" s="51">
        <f t="shared" si="21"/>
        <v>-0.10505628708884823</v>
      </c>
      <c r="N32" s="51">
        <f t="shared" si="21"/>
        <v>-0.23064303781184398</v>
      </c>
      <c r="O32" s="51">
        <f t="shared" si="21"/>
        <v>4.9387740074044562E-2</v>
      </c>
      <c r="P32" s="51">
        <f t="shared" si="21"/>
        <v>4.9731622130316289E-2</v>
      </c>
      <c r="Q32" s="51">
        <f t="shared" si="21"/>
        <v>-0.11126281277874139</v>
      </c>
      <c r="R32" s="52">
        <f t="shared" si="21"/>
        <v>-1.8465887456440511E-2</v>
      </c>
    </row>
    <row r="33" spans="1:18" x14ac:dyDescent="0.25">
      <c r="A33" s="135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24297.5280545516</v>
      </c>
      <c r="P33" s="48">
        <f t="shared" si="24"/>
        <v>30161.895706305611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5"/>
      <c r="B34" s="53" t="s">
        <v>16</v>
      </c>
      <c r="C34" s="54">
        <f>IFERROR(C32*365/C$13,"N/A")</f>
        <v>-9.1555849460800379E-2</v>
      </c>
      <c r="D34" s="96">
        <f t="shared" ref="D34:R34" si="27">IFERROR(D32*365/D$13,"N/A")</f>
        <v>-0.11074054259331782</v>
      </c>
      <c r="E34" s="55">
        <f t="shared" si="27"/>
        <v>-9.2685778232339866E-2</v>
      </c>
      <c r="F34" s="55">
        <f t="shared" si="27"/>
        <v>-0.14216839755287877</v>
      </c>
      <c r="G34" s="55">
        <f t="shared" si="27"/>
        <v>-3.7287649460800411E-2</v>
      </c>
      <c r="H34" s="55">
        <f t="shared" si="27"/>
        <v>-1.807490797386695E-2</v>
      </c>
      <c r="I34" s="55">
        <f t="shared" si="27"/>
        <v>-1.1691418240681005E-2</v>
      </c>
      <c r="J34" s="55">
        <f t="shared" si="27"/>
        <v>-1.6490636271253627E-2</v>
      </c>
      <c r="K34" s="55">
        <f t="shared" si="27"/>
        <v>-2.3104935446906939E-2</v>
      </c>
      <c r="L34" s="55">
        <f t="shared" si="27"/>
        <v>-7.7289454469069412E-3</v>
      </c>
      <c r="M34" s="55">
        <f t="shared" si="27"/>
        <v>-3.8345544787429603E-2</v>
      </c>
      <c r="N34" s="55">
        <f t="shared" si="27"/>
        <v>-7.0153924001102541E-2</v>
      </c>
      <c r="O34" s="55">
        <f t="shared" si="27"/>
        <v>1.5022104272521887E-2</v>
      </c>
      <c r="P34" s="55">
        <f t="shared" si="27"/>
        <v>1.2101361385043629E-2</v>
      </c>
      <c r="Q34" s="55">
        <f t="shared" si="27"/>
        <v>-2.195185225094087E-2</v>
      </c>
      <c r="R34" s="56">
        <f t="shared" si="27"/>
        <v>-2.4270971989920009E-3</v>
      </c>
    </row>
    <row r="35" spans="1:18" ht="80.25" customHeight="1" thickBot="1" x14ac:dyDescent="0.3">
      <c r="A35" s="136"/>
      <c r="B35" s="137" t="s">
        <v>47</v>
      </c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9"/>
    </row>
    <row r="36" spans="1:18" ht="15.75" thickBot="1" x14ac:dyDescent="0.3"/>
    <row r="37" spans="1:18" ht="15.75" thickBot="1" x14ac:dyDescent="0.3">
      <c r="A37" s="134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5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5"/>
      <c r="B39" s="42" t="s">
        <v>35</v>
      </c>
      <c r="C39" s="43">
        <f t="shared" ref="C39:R39" si="29">C$8*(1-$C$37)</f>
        <v>1.0047156463362228</v>
      </c>
      <c r="D39" s="93">
        <f t="shared" si="29"/>
        <v>1.0683476372708502</v>
      </c>
      <c r="E39" s="44">
        <f t="shared" si="29"/>
        <v>1.138677732514386</v>
      </c>
      <c r="F39" s="44">
        <f t="shared" si="29"/>
        <v>1.5405639910488751</v>
      </c>
      <c r="G39" s="44">
        <f t="shared" si="29"/>
        <v>1.0047156463362228</v>
      </c>
      <c r="H39" s="44">
        <f t="shared" si="29"/>
        <v>1.0716966894253044</v>
      </c>
      <c r="I39" s="44">
        <f t="shared" si="29"/>
        <v>1.4149745352568472</v>
      </c>
      <c r="J39" s="44">
        <f t="shared" si="29"/>
        <v>1.4735829479597935</v>
      </c>
      <c r="K39" s="44">
        <f t="shared" si="29"/>
        <v>1.4400924264152528</v>
      </c>
      <c r="L39" s="44">
        <f t="shared" si="29"/>
        <v>1.4400924264152528</v>
      </c>
      <c r="M39" s="44">
        <f t="shared" si="29"/>
        <v>1.4133000091796202</v>
      </c>
      <c r="N39" s="44">
        <f t="shared" si="29"/>
        <v>1.9826388754368129</v>
      </c>
      <c r="O39" s="44">
        <f t="shared" si="29"/>
        <v>2.0261765534447158</v>
      </c>
      <c r="P39" s="44">
        <f t="shared" si="29"/>
        <v>2.0281859847373882</v>
      </c>
      <c r="Q39" s="44">
        <f t="shared" si="29"/>
        <v>3.1146185036422911</v>
      </c>
      <c r="R39" s="45">
        <f t="shared" si="29"/>
        <v>4.0188625853448912</v>
      </c>
    </row>
    <row r="40" spans="1:18" x14ac:dyDescent="0.25">
      <c r="A40" s="135"/>
      <c r="B40" s="22" t="s">
        <v>17</v>
      </c>
      <c r="C40" s="50">
        <f>C39-C$11</f>
        <v>0.70735564633622283</v>
      </c>
      <c r="D40" s="94">
        <f>D39-D$11</f>
        <v>0.73381763727085025</v>
      </c>
      <c r="E40" s="51">
        <f>E39-E$11</f>
        <v>0.80414773251438598</v>
      </c>
      <c r="F40" s="51">
        <f t="shared" ref="F40:G40" si="30">F39-F$11</f>
        <v>0.94584399104887518</v>
      </c>
      <c r="G40" s="51">
        <f t="shared" si="30"/>
        <v>0.78169564633622279</v>
      </c>
      <c r="H40" s="51">
        <f t="shared" ref="H40" si="31">H39-H$11</f>
        <v>0.84867668942530439</v>
      </c>
      <c r="I40" s="51">
        <f t="shared" ref="I40" si="32">I39-I$11</f>
        <v>1.1423945352568472</v>
      </c>
      <c r="J40" s="51">
        <f t="shared" ref="J40" si="33">J39-J$11</f>
        <v>1.1762229479597934</v>
      </c>
      <c r="K40" s="51">
        <f t="shared" ref="K40" si="34">K39-K$11</f>
        <v>1.1303424264152528</v>
      </c>
      <c r="L40" s="51">
        <f t="shared" ref="L40" si="35">L39-L$11</f>
        <v>1.1724684264152527</v>
      </c>
      <c r="M40" s="51">
        <f t="shared" ref="M40" si="36">M39-M$11</f>
        <v>1.0663800091796203</v>
      </c>
      <c r="N40" s="51">
        <f t="shared" ref="N40" si="37">N39-N$11</f>
        <v>1.4126988754368131</v>
      </c>
      <c r="O40" s="51">
        <f t="shared" ref="O40" si="38">O39-O$11</f>
        <v>1.728816553444716</v>
      </c>
      <c r="P40" s="51">
        <f t="shared" ref="P40" si="39">P39-P$11</f>
        <v>1.7308259847373884</v>
      </c>
      <c r="Q40" s="51">
        <f t="shared" ref="Q40" si="40">Q39-Q$11</f>
        <v>2.4703385036422914</v>
      </c>
      <c r="R40" s="52">
        <f>R39-R$11</f>
        <v>3.3126325853448915</v>
      </c>
    </row>
    <row r="41" spans="1:18" x14ac:dyDescent="0.25">
      <c r="A41" s="135"/>
      <c r="B41" s="46" t="s">
        <v>15</v>
      </c>
      <c r="C41" s="47">
        <f>IF(C40&gt;0,C$13/C40,"N/A")</f>
        <v>706.85800359376537</v>
      </c>
      <c r="D41" s="95">
        <f>IF(D40&gt;0,D$13/D40,"N/A")</f>
        <v>681.36819640851888</v>
      </c>
      <c r="E41" s="48">
        <f>IF(E40&gt;0,E$13/E40,"N/A")</f>
        <v>683.95392757034313</v>
      </c>
      <c r="F41" s="48">
        <f t="shared" ref="F41:G41" si="41">IF(F40&gt;0,F$13/F40,"N/A")</f>
        <v>898.66828784037534</v>
      </c>
      <c r="G41" s="48">
        <f t="shared" si="41"/>
        <v>639.6351346505262</v>
      </c>
      <c r="H41" s="48">
        <f t="shared" ref="H41" si="42">IF(H40&gt;0,H$13/H40,"N/A")</f>
        <v>942.64401269431983</v>
      </c>
      <c r="I41" s="48">
        <f t="shared" ref="I41" si="43">IF(I40&gt;0,I$13/I40,"N/A")</f>
        <v>831.58661100073391</v>
      </c>
      <c r="J41" s="48">
        <f t="shared" ref="J41" si="44">IF(J40&gt;0,J$13/J40,"N/A")</f>
        <v>850.1789577686277</v>
      </c>
      <c r="K41" s="48">
        <f t="shared" ref="K41" si="45">IF(K40&gt;0,K$13/K40,"N/A")</f>
        <v>884.68766334055215</v>
      </c>
      <c r="L41" s="48">
        <f t="shared" ref="L41" si="46">IF(L40&gt;0,L$13/L40,"N/A")</f>
        <v>852.90143211569125</v>
      </c>
      <c r="M41" s="48">
        <f t="shared" ref="M41" si="47">IF(M40&gt;0,M$13/M40,"N/A")</f>
        <v>937.75201278324107</v>
      </c>
      <c r="N41" s="48">
        <f t="shared" ref="N41" si="48">IF(N40&gt;0,N$13/N40,"N/A")</f>
        <v>849.43792400836617</v>
      </c>
      <c r="O41" s="48">
        <f t="shared" ref="O41" si="49">IF(O40&gt;0,O$13/O40,"N/A")</f>
        <v>694.11644492237542</v>
      </c>
      <c r="P41" s="48">
        <f t="shared" ref="P41" si="50">IF(P40&gt;0,P$13/P40,"N/A")</f>
        <v>866.63824857447423</v>
      </c>
      <c r="Q41" s="48">
        <f t="shared" ref="Q41" si="51">IF(Q40&gt;0,Q$13/Q40,"N/A")</f>
        <v>748.88522252004805</v>
      </c>
      <c r="R41" s="49">
        <f>IF(R40&gt;0,R$13/R40,"N/A")</f>
        <v>838.30606880022447</v>
      </c>
    </row>
    <row r="42" spans="1:18" ht="15.75" thickBot="1" x14ac:dyDescent="0.3">
      <c r="A42" s="135"/>
      <c r="B42" s="53" t="s">
        <v>16</v>
      </c>
      <c r="C42" s="12">
        <f>IFERROR(C40*365/C$13,"N/A")</f>
        <v>0.51636962182544266</v>
      </c>
      <c r="D42" s="97">
        <f t="shared" ref="D42:R42" si="52">IFERROR(D40*365/D$13,"N/A")</f>
        <v>0.53568687520772074</v>
      </c>
      <c r="E42" s="13">
        <f t="shared" si="52"/>
        <v>0.5336616770322743</v>
      </c>
      <c r="F42" s="13">
        <f t="shared" si="52"/>
        <v>0.40615653733275225</v>
      </c>
      <c r="G42" s="13">
        <f t="shared" si="52"/>
        <v>0.57063782182544265</v>
      </c>
      <c r="H42" s="13">
        <f t="shared" si="52"/>
        <v>0.38720873955029511</v>
      </c>
      <c r="I42" s="13">
        <f t="shared" si="52"/>
        <v>0.43892000565131495</v>
      </c>
      <c r="J42" s="13">
        <f t="shared" si="52"/>
        <v>0.42932137600532461</v>
      </c>
      <c r="K42" s="13">
        <f t="shared" si="52"/>
        <v>0.4125749856415673</v>
      </c>
      <c r="L42" s="13">
        <f t="shared" si="52"/>
        <v>0.42795097564156726</v>
      </c>
      <c r="M42" s="13">
        <f t="shared" si="52"/>
        <v>0.38922870335056137</v>
      </c>
      <c r="N42" s="13">
        <f t="shared" si="52"/>
        <v>0.429695907945364</v>
      </c>
      <c r="O42" s="13">
        <f t="shared" si="52"/>
        <v>0.52584836833943449</v>
      </c>
      <c r="P42" s="13">
        <f t="shared" si="52"/>
        <v>0.42116765628609787</v>
      </c>
      <c r="Q42" s="13">
        <f t="shared" si="52"/>
        <v>0.48739111017807368</v>
      </c>
      <c r="R42" s="14">
        <f t="shared" si="52"/>
        <v>0.43540183422790257</v>
      </c>
    </row>
    <row r="43" spans="1:18" ht="74.25" customHeight="1" thickBot="1" x14ac:dyDescent="0.3">
      <c r="A43" s="136"/>
      <c r="B43" s="137" t="s">
        <v>37</v>
      </c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9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M20" sqref="M20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0" t="s">
        <v>75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20" x14ac:dyDescent="0.25">
      <c r="A2" s="155" t="s">
        <v>44</v>
      </c>
      <c r="B2" s="155"/>
      <c r="C2" s="126">
        <f>'Card Data'!$B$2</f>
        <v>44435</v>
      </c>
      <c r="D2" s="127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34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4122.66</v>
      </c>
      <c r="I4" s="1"/>
      <c r="J4" s="150" t="s">
        <v>113</v>
      </c>
      <c r="K4" s="151"/>
      <c r="L4" s="57">
        <f>'Card Data'!$C$7</f>
        <v>6431</v>
      </c>
      <c r="N4" s="132" t="s">
        <v>48</v>
      </c>
      <c r="O4" s="133"/>
      <c r="P4" s="152">
        <f>$L$4*$L$5*$H$4/$D$5/10000</f>
        <v>9.7018933546556223</v>
      </c>
    </row>
    <row r="5" spans="1:20" ht="15.75" thickBot="1" x14ac:dyDescent="0.3">
      <c r="A5" s="135"/>
      <c r="B5" s="150" t="s">
        <v>46</v>
      </c>
      <c r="C5" s="151"/>
      <c r="D5" s="58">
        <f>'Card Data'!$C$4</f>
        <v>649.08600000000001</v>
      </c>
      <c r="E5" s="1"/>
      <c r="F5" s="150" t="s">
        <v>112</v>
      </c>
      <c r="G5" s="151"/>
      <c r="H5" s="57">
        <f>'Card Data'!$C$6</f>
        <v>15275</v>
      </c>
      <c r="I5" s="1"/>
      <c r="J5" s="150" t="s">
        <v>39</v>
      </c>
      <c r="K5" s="151"/>
      <c r="L5" s="59">
        <f>$H$5/$L$4</f>
        <v>2.3752138081169334</v>
      </c>
      <c r="N5" s="156"/>
      <c r="O5" s="157"/>
      <c r="P5" s="153"/>
    </row>
    <row r="6" spans="1:20" ht="15.75" thickBot="1" x14ac:dyDescent="0.3">
      <c r="A6" s="135"/>
    </row>
    <row r="7" spans="1:20" ht="15.75" thickBot="1" x14ac:dyDescent="0.3">
      <c r="A7" s="135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5"/>
      <c r="B8" s="26" t="s">
        <v>51</v>
      </c>
      <c r="C8" s="61">
        <f t="shared" ref="C8:R8" si="0">$P$4*C9/100</f>
        <v>2.949375579815309</v>
      </c>
      <c r="D8" s="83">
        <f t="shared" si="0"/>
        <v>2.949375579815309</v>
      </c>
      <c r="E8" s="27">
        <f t="shared" si="0"/>
        <v>2.9590774731699652</v>
      </c>
      <c r="F8" s="27">
        <f t="shared" si="0"/>
        <v>3.03669262000721</v>
      </c>
      <c r="G8" s="27">
        <f t="shared" si="0"/>
        <v>2.9881831532339316</v>
      </c>
      <c r="H8" s="27">
        <f t="shared" si="0"/>
        <v>2.5224922722104619</v>
      </c>
      <c r="I8" s="27">
        <f t="shared" si="0"/>
        <v>3.5897005412225802</v>
      </c>
      <c r="J8" s="27">
        <f t="shared" si="0"/>
        <v>5.1905129447407576</v>
      </c>
      <c r="K8" s="27">
        <f t="shared" si="0"/>
        <v>5.3069356649966259</v>
      </c>
      <c r="L8" s="27">
        <f t="shared" si="0"/>
        <v>4.5598898766881426</v>
      </c>
      <c r="M8" s="27">
        <f t="shared" si="0"/>
        <v>6.1510003868516643</v>
      </c>
      <c r="N8" s="27">
        <f t="shared" si="0"/>
        <v>6.2480193203982211</v>
      </c>
      <c r="O8" s="27">
        <f t="shared" si="0"/>
        <v>6.209211746979598</v>
      </c>
      <c r="P8" s="27">
        <f t="shared" si="0"/>
        <v>3.7449308348970702</v>
      </c>
      <c r="Q8" s="27">
        <f t="shared" si="0"/>
        <v>4.5598898766881426</v>
      </c>
      <c r="R8" s="28">
        <f t="shared" si="0"/>
        <v>8.7802134859633387</v>
      </c>
    </row>
    <row r="9" spans="1:20" x14ac:dyDescent="0.25">
      <c r="A9" s="135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5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5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5"/>
      <c r="B12" s="29" t="s">
        <v>52</v>
      </c>
      <c r="C12" s="33">
        <f t="shared" ref="C12:R12" si="2">C8-C11</f>
        <v>2.6520155798153091</v>
      </c>
      <c r="D12" s="87">
        <f t="shared" si="2"/>
        <v>2.6272355798153089</v>
      </c>
      <c r="E12" s="34">
        <f t="shared" si="2"/>
        <v>2.6369374731699651</v>
      </c>
      <c r="F12" s="34">
        <f t="shared" si="2"/>
        <v>2.7145526200072099</v>
      </c>
      <c r="G12" s="34">
        <f t="shared" si="2"/>
        <v>2.6660431532339315</v>
      </c>
      <c r="H12" s="34">
        <f>H8-H11</f>
        <v>2.349032272210462</v>
      </c>
      <c r="I12" s="34">
        <f t="shared" si="2"/>
        <v>3.3419005412225804</v>
      </c>
      <c r="J12" s="34">
        <f t="shared" si="2"/>
        <v>4.7940329447407581</v>
      </c>
      <c r="K12" s="34">
        <f t="shared" si="2"/>
        <v>4.9600156649966261</v>
      </c>
      <c r="L12" s="34">
        <f t="shared" si="2"/>
        <v>4.1386298766881424</v>
      </c>
      <c r="M12" s="34">
        <f t="shared" si="2"/>
        <v>5.7173503868516642</v>
      </c>
      <c r="N12" s="34">
        <f t="shared" si="2"/>
        <v>5.7771993203982213</v>
      </c>
      <c r="O12" s="34">
        <f t="shared" si="2"/>
        <v>5.6640517469795979</v>
      </c>
      <c r="P12" s="34">
        <f t="shared" si="2"/>
        <v>3.2121608348970705</v>
      </c>
      <c r="Q12" s="34">
        <f t="shared" si="2"/>
        <v>4.0147298766881425</v>
      </c>
      <c r="R12" s="35">
        <f t="shared" si="2"/>
        <v>8.2350534859633395</v>
      </c>
    </row>
    <row r="13" spans="1:20" ht="17.25" x14ac:dyDescent="0.25">
      <c r="A13" s="135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5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5"/>
      <c r="B15" s="15" t="s">
        <v>54</v>
      </c>
      <c r="C15" s="39">
        <f t="shared" ref="C15:R15" si="4">C13/C12</f>
        <v>188.53584564341844</v>
      </c>
      <c r="D15" s="90">
        <f t="shared" si="4"/>
        <v>190.31410956879219</v>
      </c>
      <c r="E15" s="40">
        <f t="shared" si="4"/>
        <v>189.61390062803824</v>
      </c>
      <c r="F15" s="40">
        <f t="shared" si="4"/>
        <v>184.19241399662829</v>
      </c>
      <c r="G15" s="40">
        <f t="shared" si="4"/>
        <v>187.54385104138169</v>
      </c>
      <c r="H15" s="40">
        <f t="shared" si="4"/>
        <v>212.85361036334132</v>
      </c>
      <c r="I15" s="40">
        <f t="shared" si="4"/>
        <v>194.50010315453852</v>
      </c>
      <c r="J15" s="40">
        <f t="shared" si="4"/>
        <v>187.73337821704692</v>
      </c>
      <c r="K15" s="40">
        <f t="shared" si="4"/>
        <v>191.53165315671362</v>
      </c>
      <c r="L15" s="40">
        <f t="shared" si="4"/>
        <v>193.30068738598686</v>
      </c>
      <c r="M15" s="40">
        <f t="shared" si="4"/>
        <v>227.37805312573514</v>
      </c>
      <c r="N15" s="40">
        <f t="shared" si="4"/>
        <v>294.26022986564004</v>
      </c>
      <c r="O15" s="40">
        <f t="shared" si="4"/>
        <v>282.48329490513805</v>
      </c>
      <c r="P15" s="40">
        <f t="shared" si="4"/>
        <v>217.92184015045765</v>
      </c>
      <c r="Q15" s="40">
        <f t="shared" si="4"/>
        <v>211.72034635146801</v>
      </c>
      <c r="R15" s="41">
        <f t="shared" si="4"/>
        <v>255.00745120592757</v>
      </c>
    </row>
    <row r="16" spans="1:20" ht="18" thickBot="1" x14ac:dyDescent="0.3">
      <c r="A16" s="136"/>
      <c r="B16" s="8" t="s">
        <v>40</v>
      </c>
      <c r="C16" s="36">
        <f>IFERROR(C12*365/C13,"N/A")</f>
        <v>1.9359713732651755</v>
      </c>
      <c r="D16" s="91">
        <f t="shared" ref="D16:R16" si="5">IFERROR(D12*365/D13,"N/A")</f>
        <v>1.9178819732651755</v>
      </c>
      <c r="E16" s="37">
        <f t="shared" si="5"/>
        <v>1.9249643554140745</v>
      </c>
      <c r="F16" s="37">
        <f t="shared" si="5"/>
        <v>1.9816234126052632</v>
      </c>
      <c r="G16" s="37">
        <f t="shared" si="5"/>
        <v>1.94621150186077</v>
      </c>
      <c r="H16" s="37">
        <f t="shared" si="5"/>
        <v>1.7147935587136371</v>
      </c>
      <c r="I16" s="37">
        <f t="shared" si="5"/>
        <v>1.8766056885326798</v>
      </c>
      <c r="J16" s="37">
        <f t="shared" si="5"/>
        <v>1.9442466942559742</v>
      </c>
      <c r="K16" s="37">
        <f t="shared" si="5"/>
        <v>1.9056902291829141</v>
      </c>
      <c r="L16" s="37">
        <f t="shared" si="5"/>
        <v>1.888249881238965</v>
      </c>
      <c r="M16" s="37">
        <f t="shared" si="5"/>
        <v>1.6052560701545058</v>
      </c>
      <c r="N16" s="37">
        <f t="shared" si="5"/>
        <v>1.2403986776149123</v>
      </c>
      <c r="O16" s="37">
        <f t="shared" si="5"/>
        <v>1.2921118047797209</v>
      </c>
      <c r="P16" s="37">
        <f t="shared" si="5"/>
        <v>1.6749124353391867</v>
      </c>
      <c r="Q16" s="37">
        <f t="shared" si="5"/>
        <v>1.7239722411660847</v>
      </c>
      <c r="R16" s="38">
        <f t="shared" si="5"/>
        <v>1.431330724941247</v>
      </c>
    </row>
    <row r="17" spans="1:18" ht="15.75" thickBot="1" x14ac:dyDescent="0.3"/>
    <row r="18" spans="1:18" ht="15.75" thickBot="1" x14ac:dyDescent="0.3">
      <c r="A18" s="134" t="s">
        <v>18</v>
      </c>
      <c r="B18" s="108" t="s">
        <v>33</v>
      </c>
      <c r="C18" s="60">
        <f>1-2/$L$5</f>
        <v>0.15797054009819955</v>
      </c>
      <c r="D18" s="92"/>
    </row>
    <row r="19" spans="1:18" ht="15.75" customHeight="1" thickBot="1" x14ac:dyDescent="0.3">
      <c r="A19" s="135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5"/>
      <c r="B20" s="42" t="s">
        <v>35</v>
      </c>
      <c r="C20" s="43">
        <f t="shared" ref="C20:R20" si="7">C$8*(1-$C$18)</f>
        <v>2.483461126519444</v>
      </c>
      <c r="D20" s="93">
        <f t="shared" si="7"/>
        <v>2.483461126519444</v>
      </c>
      <c r="E20" s="44">
        <f t="shared" si="7"/>
        <v>2.4916304065408901</v>
      </c>
      <c r="F20" s="44">
        <f t="shared" si="7"/>
        <v>2.5569846467124542</v>
      </c>
      <c r="G20" s="44">
        <f t="shared" si="7"/>
        <v>2.5161382466052262</v>
      </c>
      <c r="H20" s="44">
        <f t="shared" si="7"/>
        <v>2.1240128055758407</v>
      </c>
      <c r="I20" s="44">
        <f t="shared" si="7"/>
        <v>3.0226336079348499</v>
      </c>
      <c r="J20" s="44">
        <f t="shared" si="7"/>
        <v>4.370564811473364</v>
      </c>
      <c r="K20" s="44">
        <f t="shared" si="7"/>
        <v>4.4685961717307112</v>
      </c>
      <c r="L20" s="44">
        <f t="shared" si="7"/>
        <v>3.8395616100794041</v>
      </c>
      <c r="M20" s="44">
        <f t="shared" si="7"/>
        <v>5.1793235335964729</v>
      </c>
      <c r="N20" s="44">
        <f t="shared" si="7"/>
        <v>5.2610163338109279</v>
      </c>
      <c r="O20" s="44">
        <f t="shared" si="7"/>
        <v>5.2283392137251461</v>
      </c>
      <c r="P20" s="44">
        <f t="shared" si="7"/>
        <v>3.1533420882779786</v>
      </c>
      <c r="Q20" s="44">
        <f t="shared" si="7"/>
        <v>3.8395616100794041</v>
      </c>
      <c r="R20" s="45">
        <f t="shared" si="7"/>
        <v>7.3931984194082148</v>
      </c>
    </row>
    <row r="21" spans="1:18" x14ac:dyDescent="0.25">
      <c r="A21" s="135"/>
      <c r="B21" s="22" t="s">
        <v>17</v>
      </c>
      <c r="C21" s="50">
        <f t="shared" ref="C21:R21" si="8">C20-C$11</f>
        <v>2.1861011265194441</v>
      </c>
      <c r="D21" s="94">
        <f t="shared" si="8"/>
        <v>2.1613211265194439</v>
      </c>
      <c r="E21" s="51">
        <f t="shared" si="8"/>
        <v>2.16949040654089</v>
      </c>
      <c r="F21" s="51">
        <f t="shared" si="8"/>
        <v>2.2348446467124541</v>
      </c>
      <c r="G21" s="51">
        <f t="shared" si="8"/>
        <v>2.1939982466052261</v>
      </c>
      <c r="H21" s="51">
        <f t="shared" si="8"/>
        <v>1.9505528055758408</v>
      </c>
      <c r="I21" s="51">
        <f t="shared" si="8"/>
        <v>2.7748336079348501</v>
      </c>
      <c r="J21" s="51">
        <f t="shared" si="8"/>
        <v>3.974084811473364</v>
      </c>
      <c r="K21" s="51">
        <f t="shared" si="8"/>
        <v>4.1216761717307113</v>
      </c>
      <c r="L21" s="51">
        <f t="shared" si="8"/>
        <v>3.4183016100794044</v>
      </c>
      <c r="M21" s="51">
        <f t="shared" si="8"/>
        <v>4.7456735335964728</v>
      </c>
      <c r="N21" s="51">
        <f t="shared" si="8"/>
        <v>4.7901963338109281</v>
      </c>
      <c r="O21" s="51">
        <f t="shared" si="8"/>
        <v>4.683179213725146</v>
      </c>
      <c r="P21" s="51">
        <f t="shared" si="8"/>
        <v>2.6205720882779788</v>
      </c>
      <c r="Q21" s="51">
        <f t="shared" si="8"/>
        <v>3.294401610079404</v>
      </c>
      <c r="R21" s="52">
        <f t="shared" si="8"/>
        <v>6.8480384194082147</v>
      </c>
    </row>
    <row r="22" spans="1:18" x14ac:dyDescent="0.25">
      <c r="A22" s="135"/>
      <c r="B22" s="46" t="s">
        <v>15</v>
      </c>
      <c r="C22" s="47">
        <f t="shared" ref="C22:R22" si="9">IF(C21&gt;0,C$13/C21,"N/A")</f>
        <v>228.71769010798906</v>
      </c>
      <c r="D22" s="95">
        <f t="shared" si="9"/>
        <v>231.3399863930409</v>
      </c>
      <c r="E22" s="48">
        <f t="shared" si="9"/>
        <v>230.46886886087557</v>
      </c>
      <c r="F22" s="48">
        <f t="shared" si="9"/>
        <v>223.7291977925714</v>
      </c>
      <c r="G22" s="48">
        <f t="shared" si="9"/>
        <v>227.89443919276147</v>
      </c>
      <c r="H22" s="48">
        <f t="shared" si="9"/>
        <v>256.33758725767507</v>
      </c>
      <c r="I22" s="48">
        <f t="shared" si="9"/>
        <v>234.24828001984517</v>
      </c>
      <c r="J22" s="48">
        <f t="shared" si="9"/>
        <v>226.46723527430996</v>
      </c>
      <c r="K22" s="48">
        <f t="shared" si="9"/>
        <v>230.48875273505305</v>
      </c>
      <c r="L22" s="48">
        <f t="shared" si="9"/>
        <v>234.03435134017229</v>
      </c>
      <c r="M22" s="48">
        <f t="shared" si="9"/>
        <v>273.9337189540733</v>
      </c>
      <c r="N22" s="48">
        <f t="shared" si="9"/>
        <v>354.89150789097909</v>
      </c>
      <c r="O22" s="48">
        <f t="shared" si="9"/>
        <v>341.64825367152889</v>
      </c>
      <c r="P22" s="48">
        <f t="shared" si="9"/>
        <v>267.11724631852491</v>
      </c>
      <c r="Q22" s="48">
        <f t="shared" si="9"/>
        <v>258.01347273489</v>
      </c>
      <c r="R22" s="49">
        <f t="shared" si="9"/>
        <v>306.65715806271356</v>
      </c>
    </row>
    <row r="23" spans="1:18" ht="15.75" thickBot="1" x14ac:dyDescent="0.3">
      <c r="A23" s="136"/>
      <c r="B23" s="53" t="s">
        <v>16</v>
      </c>
      <c r="C23" s="54">
        <f>IFERROR(C21*365/C$13,"N/A")</f>
        <v>1.5958538223591943</v>
      </c>
      <c r="D23" s="96">
        <f t="shared" ref="D23:R23" si="10">IFERROR(D21*365/D$13,"N/A")</f>
        <v>1.577764422359194</v>
      </c>
      <c r="E23" s="55">
        <f t="shared" si="10"/>
        <v>1.5837279967748499</v>
      </c>
      <c r="F23" s="55">
        <f t="shared" si="10"/>
        <v>1.6314365921000915</v>
      </c>
      <c r="G23" s="55">
        <f t="shared" si="10"/>
        <v>1.601618720021815</v>
      </c>
      <c r="H23" s="55">
        <f t="shared" si="10"/>
        <v>1.4239035480703637</v>
      </c>
      <c r="I23" s="55">
        <f t="shared" si="10"/>
        <v>1.5581757952249542</v>
      </c>
      <c r="J23" s="55">
        <f t="shared" si="10"/>
        <v>1.6117121735419755</v>
      </c>
      <c r="K23" s="55">
        <f t="shared" si="10"/>
        <v>1.5835913712439047</v>
      </c>
      <c r="L23" s="55">
        <f t="shared" si="10"/>
        <v>1.5596001095987282</v>
      </c>
      <c r="M23" s="55">
        <f t="shared" si="10"/>
        <v>1.332439107509779</v>
      </c>
      <c r="N23" s="55">
        <f t="shared" si="10"/>
        <v>1.0284833304946992</v>
      </c>
      <c r="O23" s="55">
        <f t="shared" si="10"/>
        <v>1.0683502581310489</v>
      </c>
      <c r="P23" s="55">
        <f t="shared" si="10"/>
        <v>1.3664411603163746</v>
      </c>
      <c r="Q23" s="55">
        <f t="shared" si="10"/>
        <v>1.4146548090340971</v>
      </c>
      <c r="R23" s="56">
        <f t="shared" si="10"/>
        <v>1.1902542967066658</v>
      </c>
    </row>
    <row r="24" spans="1:18" ht="15.75" thickBot="1" x14ac:dyDescent="0.3"/>
    <row r="25" spans="1:18" ht="15.75" thickBot="1" x14ac:dyDescent="0.3">
      <c r="A25" s="134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5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5"/>
      <c r="B27" s="42" t="s">
        <v>35</v>
      </c>
      <c r="C27" s="43">
        <f t="shared" ref="C27:R27" si="12">C$8*(1-$C$25)</f>
        <v>0.17423357517770169</v>
      </c>
      <c r="D27" s="93">
        <f t="shared" si="12"/>
        <v>0.17423357517770169</v>
      </c>
      <c r="E27" s="44">
        <f t="shared" si="12"/>
        <v>0.1748067119381547</v>
      </c>
      <c r="F27" s="44">
        <f t="shared" si="12"/>
        <v>0.1793918060217784</v>
      </c>
      <c r="G27" s="44">
        <f t="shared" si="12"/>
        <v>0.17652612221951355</v>
      </c>
      <c r="H27" s="44">
        <f t="shared" si="12"/>
        <v>0.1490155577177712</v>
      </c>
      <c r="I27" s="44">
        <f t="shared" si="12"/>
        <v>0.21206060136759747</v>
      </c>
      <c r="J27" s="44">
        <f t="shared" si="12"/>
        <v>0.30662816684233685</v>
      </c>
      <c r="K27" s="44">
        <f t="shared" si="12"/>
        <v>0.3135058079677725</v>
      </c>
      <c r="L27" s="44">
        <f t="shared" si="12"/>
        <v>0.2693742774128941</v>
      </c>
      <c r="M27" s="44">
        <f t="shared" si="12"/>
        <v>0.36336870612718047</v>
      </c>
      <c r="N27" s="44">
        <f t="shared" si="12"/>
        <v>0.36910007373171022</v>
      </c>
      <c r="O27" s="44">
        <f t="shared" si="12"/>
        <v>0.3668075266898983</v>
      </c>
      <c r="P27" s="44">
        <f t="shared" si="12"/>
        <v>0.22123078953484493</v>
      </c>
      <c r="Q27" s="44">
        <f t="shared" si="12"/>
        <v>0.2693742774128941</v>
      </c>
      <c r="R27" s="45">
        <f t="shared" si="12"/>
        <v>0.51868876820993437</v>
      </c>
    </row>
    <row r="28" spans="1:18" x14ac:dyDescent="0.25">
      <c r="A28" s="135"/>
      <c r="B28" s="22" t="s">
        <v>17</v>
      </c>
      <c r="C28" s="50">
        <f t="shared" ref="C28:R28" si="13">C27-C$11</f>
        <v>-0.12312642482229827</v>
      </c>
      <c r="D28" s="94">
        <f t="shared" si="13"/>
        <v>-0.14790642482229829</v>
      </c>
      <c r="E28" s="51">
        <f t="shared" si="13"/>
        <v>-0.14733328806184529</v>
      </c>
      <c r="F28" s="51">
        <f t="shared" si="13"/>
        <v>-0.14274819397822158</v>
      </c>
      <c r="G28" s="51">
        <f t="shared" si="13"/>
        <v>-0.14561387778048643</v>
      </c>
      <c r="H28" s="51">
        <f t="shared" si="13"/>
        <v>-2.4444442282228779E-2</v>
      </c>
      <c r="I28" s="51">
        <f t="shared" si="13"/>
        <v>-3.5739398632402497E-2</v>
      </c>
      <c r="J28" s="51">
        <f t="shared" si="13"/>
        <v>-8.9851833157663097E-2</v>
      </c>
      <c r="K28" s="51">
        <f t="shared" si="13"/>
        <v>-3.3414192032227452E-2</v>
      </c>
      <c r="L28" s="51">
        <f t="shared" si="13"/>
        <v>-0.15188572258710586</v>
      </c>
      <c r="M28" s="51">
        <f t="shared" si="13"/>
        <v>-7.0281293872819561E-2</v>
      </c>
      <c r="N28" s="51">
        <f t="shared" si="13"/>
        <v>-0.10171992626828974</v>
      </c>
      <c r="O28" s="51">
        <f t="shared" si="13"/>
        <v>-0.17835247331010168</v>
      </c>
      <c r="P28" s="51">
        <f t="shared" si="13"/>
        <v>-0.31153921046515504</v>
      </c>
      <c r="Q28" s="51">
        <f t="shared" si="13"/>
        <v>-0.27578572258710587</v>
      </c>
      <c r="R28" s="52">
        <f t="shared" si="13"/>
        <v>-2.6471231790065608E-2</v>
      </c>
    </row>
    <row r="29" spans="1:18" x14ac:dyDescent="0.25">
      <c r="A29" s="135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6"/>
      <c r="B30" s="53" t="s">
        <v>16</v>
      </c>
      <c r="C30" s="54">
        <f>IFERROR(C28*365/C$13,"N/A")</f>
        <v>-8.9882290120277736E-2</v>
      </c>
      <c r="D30" s="96">
        <f t="shared" ref="D30:R30" si="15">IFERROR(D28*365/D$13,"N/A")</f>
        <v>-0.10797169012027776</v>
      </c>
      <c r="E30" s="55">
        <f t="shared" si="15"/>
        <v>-0.10755330028514706</v>
      </c>
      <c r="F30" s="55">
        <f t="shared" si="15"/>
        <v>-0.10420618160410176</v>
      </c>
      <c r="G30" s="55">
        <f t="shared" si="15"/>
        <v>-0.1062981307797551</v>
      </c>
      <c r="H30" s="55">
        <f t="shared" si="15"/>
        <v>-1.7844442866027009E-2</v>
      </c>
      <c r="I30" s="55">
        <f t="shared" si="15"/>
        <v>-2.0069046924349094E-2</v>
      </c>
      <c r="J30" s="55">
        <f t="shared" si="15"/>
        <v>-3.6439910113941147E-2</v>
      </c>
      <c r="K30" s="55">
        <f t="shared" si="15"/>
        <v>-1.2838084307118969E-2</v>
      </c>
      <c r="L30" s="55">
        <f t="shared" si="15"/>
        <v>-6.929786093036705E-2</v>
      </c>
      <c r="M30" s="55">
        <f t="shared" si="15"/>
        <v>-1.97328248181378E-2</v>
      </c>
      <c r="N30" s="55">
        <f t="shared" si="15"/>
        <v>-2.1839866522309268E-2</v>
      </c>
      <c r="O30" s="55">
        <f t="shared" si="15"/>
        <v>-4.0686657973866946E-2</v>
      </c>
      <c r="P30" s="55">
        <f t="shared" si="15"/>
        <v>-0.16244544545683084</v>
      </c>
      <c r="Q30" s="55">
        <f t="shared" si="15"/>
        <v>-0.11842563381681605</v>
      </c>
      <c r="R30" s="56">
        <f t="shared" si="15"/>
        <v>-4.6009521920828316E-3</v>
      </c>
    </row>
    <row r="31" spans="1:18" ht="15.75" thickBot="1" x14ac:dyDescent="0.3"/>
    <row r="32" spans="1:18" ht="15.75" thickBot="1" x14ac:dyDescent="0.3">
      <c r="A32" s="134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5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5"/>
      <c r="B34" s="42" t="s">
        <v>35</v>
      </c>
      <c r="C34" s="43">
        <f t="shared" ref="C34:R34" si="17">C$8*(1-$C$32)</f>
        <v>1.0181118549540391</v>
      </c>
      <c r="D34" s="93">
        <f t="shared" si="17"/>
        <v>1.0181118549540391</v>
      </c>
      <c r="E34" s="44">
        <f t="shared" si="17"/>
        <v>1.0214609071084932</v>
      </c>
      <c r="F34" s="44">
        <f t="shared" si="17"/>
        <v>1.0482533243441259</v>
      </c>
      <c r="G34" s="44">
        <f t="shared" si="17"/>
        <v>1.0315080635718554</v>
      </c>
      <c r="H34" s="44">
        <f t="shared" si="17"/>
        <v>0.87075356015805983</v>
      </c>
      <c r="I34" s="44">
        <f t="shared" si="17"/>
        <v>1.239149297148008</v>
      </c>
      <c r="J34" s="44">
        <f t="shared" si="17"/>
        <v>1.7917429026329306</v>
      </c>
      <c r="K34" s="44">
        <f t="shared" si="17"/>
        <v>1.8319315284863797</v>
      </c>
      <c r="L34" s="44">
        <f t="shared" si="17"/>
        <v>1.5740545125934158</v>
      </c>
      <c r="M34" s="44">
        <f t="shared" si="17"/>
        <v>2.123299065923884</v>
      </c>
      <c r="N34" s="44">
        <f t="shared" si="17"/>
        <v>2.1567895874684249</v>
      </c>
      <c r="O34" s="44">
        <f t="shared" si="17"/>
        <v>2.1433933788506088</v>
      </c>
      <c r="P34" s="44">
        <f t="shared" si="17"/>
        <v>1.2927341316192733</v>
      </c>
      <c r="Q34" s="44">
        <f t="shared" si="17"/>
        <v>1.5740545125934158</v>
      </c>
      <c r="R34" s="45">
        <f t="shared" si="17"/>
        <v>3.030892199780939</v>
      </c>
    </row>
    <row r="35" spans="1:18" x14ac:dyDescent="0.25">
      <c r="A35" s="135"/>
      <c r="B35" s="22" t="s">
        <v>17</v>
      </c>
      <c r="C35" s="50">
        <f>C34-C$11</f>
        <v>0.72075185495403915</v>
      </c>
      <c r="D35" s="94">
        <f>D34-D$11</f>
        <v>0.69597185495403913</v>
      </c>
      <c r="E35" s="51">
        <f>E34-E$11</f>
        <v>0.69932090710849326</v>
      </c>
      <c r="F35" s="51">
        <f t="shared" ref="F35:Q35" si="18">F34-F$11</f>
        <v>0.7261133243441259</v>
      </c>
      <c r="G35" s="51">
        <f t="shared" si="18"/>
        <v>0.70936806357185545</v>
      </c>
      <c r="H35" s="51">
        <f t="shared" si="18"/>
        <v>0.69729356015805988</v>
      </c>
      <c r="I35" s="51">
        <f t="shared" si="18"/>
        <v>0.99134929714800801</v>
      </c>
      <c r="J35" s="51">
        <f t="shared" si="18"/>
        <v>1.3952629026329306</v>
      </c>
      <c r="K35" s="51">
        <f t="shared" si="18"/>
        <v>1.4850115284863799</v>
      </c>
      <c r="L35" s="51">
        <f t="shared" si="18"/>
        <v>1.1527945125934158</v>
      </c>
      <c r="M35" s="51">
        <f t="shared" si="18"/>
        <v>1.6896490659238839</v>
      </c>
      <c r="N35" s="51">
        <f t="shared" si="18"/>
        <v>1.6859695874684248</v>
      </c>
      <c r="O35" s="51">
        <f t="shared" si="18"/>
        <v>1.5982333788506087</v>
      </c>
      <c r="P35" s="51">
        <f t="shared" si="18"/>
        <v>0.75996413161927334</v>
      </c>
      <c r="Q35" s="51">
        <f t="shared" si="18"/>
        <v>1.0288945125934159</v>
      </c>
      <c r="R35" s="52">
        <f>R34-R$11</f>
        <v>2.485732199780939</v>
      </c>
    </row>
    <row r="36" spans="1:18" x14ac:dyDescent="0.25">
      <c r="A36" s="135"/>
      <c r="B36" s="46" t="s">
        <v>15</v>
      </c>
      <c r="C36" s="47">
        <f>IF(C35&gt;0,C$13/C35,"N/A")</f>
        <v>693.72003216264216</v>
      </c>
      <c r="D36" s="95">
        <f>IF(D35&gt;0,D$13/D35,"N/A")</f>
        <v>718.41985626418648</v>
      </c>
      <c r="E36" s="48">
        <f>IF(E35&gt;0,E$13/E35,"N/A")</f>
        <v>714.97933912396184</v>
      </c>
      <c r="F36" s="48">
        <f t="shared" ref="F36:Q36" si="19">IF(F35&gt;0,F$13/F35,"N/A")</f>
        <v>688.59774808792201</v>
      </c>
      <c r="G36" s="48">
        <f t="shared" si="19"/>
        <v>704.85270718612287</v>
      </c>
      <c r="H36" s="48">
        <f t="shared" si="19"/>
        <v>717.05810661246016</v>
      </c>
      <c r="I36" s="48">
        <f t="shared" si="19"/>
        <v>655.67202384666166</v>
      </c>
      <c r="J36" s="48">
        <f t="shared" si="19"/>
        <v>645.03972570449275</v>
      </c>
      <c r="K36" s="48">
        <f t="shared" si="19"/>
        <v>639.7256733544026</v>
      </c>
      <c r="L36" s="48">
        <f t="shared" si="19"/>
        <v>693.9658293482488</v>
      </c>
      <c r="M36" s="48">
        <f t="shared" si="19"/>
        <v>769.39053571409659</v>
      </c>
      <c r="N36" s="48">
        <f t="shared" si="19"/>
        <v>1008.321865729881</v>
      </c>
      <c r="O36" s="48">
        <f t="shared" si="19"/>
        <v>1001.105358687141</v>
      </c>
      <c r="P36" s="48">
        <f t="shared" si="19"/>
        <v>921.09610292856007</v>
      </c>
      <c r="Q36" s="48">
        <f t="shared" si="19"/>
        <v>826.12939382629509</v>
      </c>
      <c r="R36" s="49">
        <f>IF(R35&gt;0,R$13/R35,"N/A")</f>
        <v>844.82149774021013</v>
      </c>
    </row>
    <row r="37" spans="1:18" ht="15.75" thickBot="1" x14ac:dyDescent="0.3">
      <c r="A37" s="136"/>
      <c r="B37" s="53" t="s">
        <v>16</v>
      </c>
      <c r="C37" s="12">
        <f>IFERROR(C35*365/C$13,"N/A")</f>
        <v>0.52614885411644852</v>
      </c>
      <c r="D37" s="97">
        <f t="shared" ref="D37:R37" si="20">IFERROR(D35*365/D$13,"N/A")</f>
        <v>0.50805945411644848</v>
      </c>
      <c r="E37" s="13">
        <f t="shared" si="20"/>
        <v>0.51050426218920009</v>
      </c>
      <c r="F37" s="13">
        <f t="shared" si="20"/>
        <v>0.53006272677121191</v>
      </c>
      <c r="G37" s="13">
        <f t="shared" si="20"/>
        <v>0.51783868640745445</v>
      </c>
      <c r="H37" s="13">
        <f t="shared" si="20"/>
        <v>0.5090242989153837</v>
      </c>
      <c r="I37" s="13">
        <f t="shared" si="20"/>
        <v>0.55668075916772763</v>
      </c>
      <c r="J37" s="13">
        <f t="shared" si="20"/>
        <v>0.56585662162335526</v>
      </c>
      <c r="K37" s="13">
        <f t="shared" si="20"/>
        <v>0.57055706094476699</v>
      </c>
      <c r="L37" s="13">
        <f t="shared" si="20"/>
        <v>0.52596249637074599</v>
      </c>
      <c r="M37" s="13">
        <f t="shared" si="20"/>
        <v>0.47440146850939818</v>
      </c>
      <c r="N37" s="13">
        <f t="shared" si="20"/>
        <v>0.36198758789763241</v>
      </c>
      <c r="O37" s="13">
        <f t="shared" si="20"/>
        <v>0.36459698955029507</v>
      </c>
      <c r="P37" s="13">
        <f t="shared" si="20"/>
        <v>0.39626701148719251</v>
      </c>
      <c r="Q37" s="13">
        <f t="shared" si="20"/>
        <v>0.4418194083489374</v>
      </c>
      <c r="R37" s="14">
        <f t="shared" si="20"/>
        <v>0.43204392996192514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workbookViewId="0">
      <selection activeCell="E36" sqref="E36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8" t="s">
        <v>79</v>
      </c>
      <c r="B2" s="159"/>
      <c r="C2" s="160"/>
      <c r="E2" s="158" t="s">
        <v>80</v>
      </c>
      <c r="F2" s="160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6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6" x14ac:dyDescent="0.25">
      <c r="A18" s="118">
        <v>44362</v>
      </c>
      <c r="B18" s="121" t="s">
        <v>98</v>
      </c>
      <c r="C18" s="120">
        <v>2.48</v>
      </c>
      <c r="E18" s="118"/>
      <c r="F18" s="120"/>
    </row>
    <row r="19" spans="1:6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6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6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6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6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6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6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6" x14ac:dyDescent="0.25">
      <c r="A26" s="118"/>
      <c r="B26" s="119"/>
      <c r="C26" s="120"/>
      <c r="D26" s="119"/>
      <c r="E26" s="118"/>
      <c r="F26" s="120"/>
    </row>
    <row r="27" spans="1:6" x14ac:dyDescent="0.25">
      <c r="A27" s="109"/>
    </row>
    <row r="28" spans="1:6" x14ac:dyDescent="0.25">
      <c r="A28" s="109"/>
      <c r="B28" s="6" t="s">
        <v>94</v>
      </c>
      <c r="C28" s="110">
        <f>SUM(C4:C27)</f>
        <v>5404.9499999999989</v>
      </c>
      <c r="E28" s="6" t="s">
        <v>94</v>
      </c>
      <c r="F28" s="110">
        <f>SUM(F4:F27)</f>
        <v>5554.9000000000005</v>
      </c>
    </row>
    <row r="29" spans="1:6" x14ac:dyDescent="0.25">
      <c r="A29" s="109"/>
    </row>
    <row r="30" spans="1:6" x14ac:dyDescent="0.25">
      <c r="A30" s="109"/>
      <c r="B30" s="6" t="s">
        <v>108</v>
      </c>
      <c r="C30" s="110">
        <f>C28-F28</f>
        <v>-149.95000000000164</v>
      </c>
    </row>
    <row r="31" spans="1:6" x14ac:dyDescent="0.25"/>
    <row r="32" spans="1:6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2021-08-22T02:34:30Z</cp:lastPrinted>
  <dcterms:created xsi:type="dcterms:W3CDTF">2021-03-17T05:33:13Z</dcterms:created>
  <dcterms:modified xsi:type="dcterms:W3CDTF">2021-08-28T01:05:41Z</dcterms:modified>
</cp:coreProperties>
</file>