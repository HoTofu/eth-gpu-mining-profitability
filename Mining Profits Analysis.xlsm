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DF00425B-25A6-4CAA-86AA-2969178A84BF}" xr6:coauthVersionLast="47" xr6:coauthVersionMax="47" xr10:uidLastSave="{00000000-0000-0000-0000-000000000000}"/>
  <bookViews>
    <workbookView xWindow="-110" yWindow="-110" windowWidth="38620" windowHeight="2122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3" i="9" l="1"/>
  <c r="C9" i="3"/>
  <c r="L4" i="3"/>
  <c r="F33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4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18" i="7" l="1"/>
  <c r="C20" i="7" s="1"/>
  <c r="C21" i="7" s="1"/>
  <c r="C23" i="7" s="1"/>
  <c r="D8" i="3"/>
  <c r="Q8" i="7"/>
  <c r="Q27" i="7" s="1"/>
  <c r="Q28" i="7" s="1"/>
  <c r="Q30" i="7" s="1"/>
  <c r="R8" i="7"/>
  <c r="R34" i="7" s="1"/>
  <c r="R35" i="7" s="1"/>
  <c r="R37" i="7" s="1"/>
  <c r="K8" i="7"/>
  <c r="K12" i="7" s="1"/>
  <c r="K16" i="7" s="1"/>
  <c r="N8" i="7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M8" i="7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12" i="7"/>
  <c r="Q16" i="7" s="1"/>
  <c r="C34" i="7"/>
  <c r="C35" i="7" s="1"/>
  <c r="C37" i="7" s="1"/>
  <c r="C12" i="7"/>
  <c r="C16" i="7" s="1"/>
  <c r="C27" i="7"/>
  <c r="C28" i="7" s="1"/>
  <c r="C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K27" i="7" l="1"/>
  <c r="K28" i="7" s="1"/>
  <c r="K30" i="7" s="1"/>
  <c r="K34" i="7"/>
  <c r="K35" i="7" s="1"/>
  <c r="K37" i="7" s="1"/>
  <c r="Q20" i="7"/>
  <c r="Q21" i="7" s="1"/>
  <c r="Q23" i="7" s="1"/>
  <c r="G20" i="7"/>
  <c r="G21" i="7" s="1"/>
  <c r="G23" i="7" s="1"/>
  <c r="R20" i="7"/>
  <c r="R21" i="7" s="1"/>
  <c r="R23" i="7" s="1"/>
  <c r="R12" i="7"/>
  <c r="R16" i="7" s="1"/>
  <c r="J20" i="7"/>
  <c r="J21" i="7" s="1"/>
  <c r="J23" i="7" s="1"/>
  <c r="M20" i="7"/>
  <c r="M21" i="7" s="1"/>
  <c r="M23" i="7" s="1"/>
  <c r="N20" i="7"/>
  <c r="N21" i="7" s="1"/>
  <c r="N23" i="7" s="1"/>
  <c r="N34" i="7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E24" i="3" s="1"/>
  <c r="E26" i="3" s="1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G32" i="3" s="1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P15" i="7"/>
  <c r="I15" i="7"/>
  <c r="Q22" i="7"/>
  <c r="O15" i="7"/>
  <c r="Q36" i="7"/>
  <c r="J22" i="7"/>
  <c r="Q29" i="7"/>
  <c r="K29" i="7"/>
  <c r="M22" i="7"/>
  <c r="E15" i="7"/>
  <c r="C29" i="7"/>
  <c r="R22" i="7"/>
  <c r="F36" i="7"/>
  <c r="K36" i="7"/>
  <c r="C22" i="7"/>
  <c r="K15" i="7"/>
  <c r="D36" i="7"/>
  <c r="G22" i="7"/>
  <c r="L29" i="7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N22" i="7" l="1"/>
  <c r="R15" i="7"/>
  <c r="N29" i="7"/>
  <c r="N15" i="7"/>
  <c r="L15" i="7"/>
  <c r="N36" i="7"/>
  <c r="K22" i="7"/>
  <c r="L36" i="7"/>
  <c r="K16" i="3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<sst xmlns="http://schemas.openxmlformats.org/spreadsheetml/2006/main" count="2298" uniqueCount="122">
  <si>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</si>
  <si>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</si>
  <si>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</si>
  <si>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</si>
  <si>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</si>
  <si>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</si>
  <si>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</si>
  <si>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</si>
  <si>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</si>
  <si>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</si>
  <si>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</si>
  <si>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</si>
  <si>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</si>
  <si>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</si>
  <si>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</si>
  <si>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</si>
  <si>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</si>
  <si>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</si>
  <si>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</si>
  <si>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</si>
  <si>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</si>
  <si>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</si>
  <si>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</si>
  <si>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</si>
  <si>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</si>
  <si>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</si>
  <si>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</si>
  <si>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</si>
  <si>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</si>
  <si>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</si>
  <si>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</si>
  <si>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</si>
  <si>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</si>
  <si>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</si>
  <si>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</si>
  <si>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</si>
  <si>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</si>
  <si>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</si>
  <si>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</si>
  <si>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</si>
  <si>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</si>
  <si>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</si>
  <si>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</si>
  <si>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</si>
  <si>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</si>
  <si>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</si>
  <si>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</si>
  <si>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</si>
  <si>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</si>
  <si>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</si>
  <si>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</si>
  <si>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</si>
  <si>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</si>
  <si>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</si>
  <si>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</si>
  <si>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</si>
  <si>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</si>
  <si>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</si>
  <si>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</si>
  <si>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</si>
  <si>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</si>
  <si>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</si>
  <si>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</si>
  <si>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</si>
  <si>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</si>
  <si>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</si>
  <si>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</si>
  <si>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</si>
  <si>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</si>
  <si>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</si>
  <si>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</si>
  <si>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</si>
  <si>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</si>
  <si>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</si>
  <si>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</si>
  <si>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</si>
  <si>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</si>
  <si>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</si>
  <si>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</si>
  <si>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</si>
  <si>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</si>
  <si>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</si>
  <si>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</si>
  <si>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</si>
  <si>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</si>
  <si>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</si>
  <si>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</si>
  <si>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</si>
  <si>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</si>
  <si>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</si>
  <si>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</si>
  <si>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</si>
  <si>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</si>
  <si>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</si>
  <si>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</si>
  <si>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</si>
  <si>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</si>
  <si>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</si>
  <si>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</si>
  <si>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</si>
  <si>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</si>
  <si>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</si>
  <si>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</si>
  <si>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</si>
  <si>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</si>
  <si>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</si>
  <si>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</si>
  <si>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</si>
  <si>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</si>
  <si>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</si>
  <si>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</si>
  <si>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</si>
  <si>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</si>
  <si>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</si>
  <si>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</si>
  <si>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</si>
  <si>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</si>
  <si>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</si>
  <si>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</si>
  <si>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</si>
  <si>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 Expenditures</t>
  </si>
  <si>
    <t>Total 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</si>
</sst>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0" fillId="0" borderId="1" xfId="0" applyBorder="1"/>
    <xf numFmtId="44" fontId="0" fillId="0" borderId="1" xfId="0" applyNumberFormat="1" applyBorder="1"/>
    <xf numFmtId="0" fontId="0" fillId="0" borderId="2" xfId="0" applyBorder="1"/>
    <xf numFmtId="0" fontId="0" fillId="0" borderId="40" xfId="0" applyBorder="1"/>
    <xf numFmtId="0" fontId="0" fillId="0" borderId="6" xfId="0" applyBorder="1"/>
    <xf numFmtId="0" fontId="0" fillId="0" borderId="7" xfId="0" applyBorder="1"/>
    <xf numFmtId="44" fontId="0" fillId="0" borderId="12" xfId="0" applyNumberFormat="1" applyBorder="1"/>
    <xf numFmtId="44" fontId="0" fillId="0" borderId="14" xfId="0" applyNumberFormat="1" applyBorder="1"/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7</xdr:col>
          <xdr:colOff>12700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12700</xdr:rowOff>
        </xdr:from>
        <xdr:to>
          <xdr:col>4</xdr:col>
          <xdr:colOff>0</xdr:colOff>
          <xdr:row>7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184150</xdr:rowOff>
        </xdr:from>
        <xdr:to>
          <xdr:col>4</xdr:col>
          <xdr:colOff>12700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12700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165100</xdr:rowOff>
        </xdr:from>
        <xdr:to>
          <xdr:col>0</xdr:col>
          <xdr:colOff>717550</xdr:colOff>
          <xdr:row>5</xdr:row>
          <xdr:rowOff>184150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S17" sqref="S17"/>
    </sheetView>
  </sheetViews>
  <sheetFormatPr defaultColWidth="9.1796875" defaultRowHeight="14.5" zeroHeight="1" x14ac:dyDescent="0.35"/>
  <cols>
    <col min="1" max="1" width="17.453125" bestFit="1" customWidth="1"/>
    <col min="2" max="13" width="7.81640625" customWidth="1"/>
    <col min="14" max="14" width="7.81640625" style="6" customWidth="1"/>
    <col min="15" max="15" width="8" bestFit="1" customWidth="1"/>
    <col min="16" max="16" width="12.1796875" style="6" bestFit="1" customWidth="1"/>
    <col min="17" max="17" width="6.1796875" bestFit="1" customWidth="1"/>
    <col min="18" max="18" width="9.81640625" style="6" bestFit="1" customWidth="1"/>
    <col min="19" max="19" width="7.81640625" style="6" customWidth="1"/>
    <col min="20" max="20" width="5.54296875" bestFit="1" customWidth="1"/>
    <col min="21" max="21" width="9.81640625" style="6" bestFit="1" customWidth="1"/>
    <col min="22" max="22" width="7.81640625" style="6" customWidth="1"/>
    <col min="23" max="23" width="5.54296875" bestFit="1" customWidth="1"/>
  </cols>
  <sheetData>
    <row r="1" spans="1:23" s="6" customFormat="1" x14ac:dyDescent="0.35"/>
    <row r="2" spans="1:23" s="6" customFormat="1" x14ac:dyDescent="0.35">
      <c r="A2" s="81" t="s">
        <v>61</v>
      </c>
      <c r="B2" s="124">
        <v>44454</v>
      </c>
      <c r="C2" s="125"/>
    </row>
    <row r="3" spans="1:23" ht="15" thickBot="1" x14ac:dyDescent="0.4">
      <c r="D3" s="1"/>
      <c r="H3" s="1"/>
    </row>
    <row r="4" spans="1:23" ht="15" thickBot="1" x14ac:dyDescent="0.4">
      <c r="A4" s="130" t="s">
        <v>46</v>
      </c>
      <c r="B4" s="131"/>
      <c r="C4" s="58">
        <v>701.95500000000004</v>
      </c>
      <c r="D4" s="1"/>
      <c r="H4" s="1"/>
    </row>
    <row r="5" spans="1:23" ht="15" thickBot="1" x14ac:dyDescent="0.4">
      <c r="A5" s="126" t="s">
        <v>114</v>
      </c>
      <c r="B5" s="127"/>
      <c r="C5" s="57">
        <v>4530.5</v>
      </c>
    </row>
    <row r="6" spans="1:23" s="6" customFormat="1" ht="15" thickBot="1" x14ac:dyDescent="0.4">
      <c r="A6" s="126" t="s">
        <v>110</v>
      </c>
      <c r="B6" s="127"/>
      <c r="C6" s="57">
        <v>14046</v>
      </c>
    </row>
    <row r="7" spans="1:23" s="6" customFormat="1" ht="15" thickBot="1" x14ac:dyDescent="0.4">
      <c r="A7" s="128" t="s">
        <v>113</v>
      </c>
      <c r="B7" s="129"/>
      <c r="C7" s="57">
        <v>6454</v>
      </c>
    </row>
    <row r="8" spans="1:23" s="6" customFormat="1" ht="15" thickBot="1" x14ac:dyDescent="0.4"/>
    <row r="9" spans="1:23" ht="16" thickBot="1" x14ac:dyDescent="0.4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20" t="s">
        <v>104</v>
      </c>
      <c r="V9" s="120" t="s">
        <v>105</v>
      </c>
      <c r="W9" s="101">
        <v>3090</v>
      </c>
    </row>
    <row r="10" spans="1:23" ht="15.5" x14ac:dyDescent="0.3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1"/>
      <c r="V10" s="121">
        <v>64</v>
      </c>
      <c r="W10" s="107">
        <v>120</v>
      </c>
    </row>
    <row r="11" spans="1:23" ht="15.5" x14ac:dyDescent="0.3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2"/>
      <c r="V11" s="122">
        <v>240</v>
      </c>
      <c r="W11" s="63">
        <v>285</v>
      </c>
    </row>
    <row r="12" spans="1:23" ht="16" thickBot="1" x14ac:dyDescent="0.4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3"/>
      <c r="V12" s="123">
        <v>2250</v>
      </c>
      <c r="W12" s="65">
        <v>3500</v>
      </c>
    </row>
    <row r="13" spans="1:23" x14ac:dyDescent="0.35"/>
    <row r="14" spans="1:23" ht="15" thickBot="1" x14ac:dyDescent="0.4"/>
    <row r="15" spans="1:23" ht="16" thickBot="1" x14ac:dyDescent="0.4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5" x14ac:dyDescent="0.3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5" x14ac:dyDescent="0.3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" thickBot="1" x14ac:dyDescent="0.4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3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7</xdr:col>
                    <xdr:colOff>12700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12700</xdr:colOff>
                    <xdr:row>0</xdr:row>
                    <xdr:rowOff>184150</xdr:rowOff>
                  </from>
                  <to>
                    <xdr:col>4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I29" sqref="I29"/>
    </sheetView>
  </sheetViews>
  <sheetFormatPr defaultColWidth="0" defaultRowHeight="14.5" zeroHeight="1" x14ac:dyDescent="0.35"/>
  <cols>
    <col min="1" max="1" width="6.453125" customWidth="1"/>
    <col min="2" max="2" width="22.1796875" bestFit="1" customWidth="1"/>
    <col min="3" max="4" width="7.54296875" style="6" customWidth="1"/>
    <col min="5" max="6" width="7.54296875" customWidth="1"/>
    <col min="7" max="7" width="7.54296875" style="6" customWidth="1"/>
    <col min="8" max="18" width="7.54296875" customWidth="1"/>
    <col min="19" max="19" width="9.1796875" customWidth="1"/>
    <col min="20" max="21" width="9.1796875" hidden="1" customWidth="1"/>
    <col min="22" max="22" width="10" hidden="1" customWidth="1"/>
    <col min="23" max="30" width="0" hidden="1" customWidth="1"/>
    <col min="31" max="16384" width="9.1796875" hidden="1"/>
  </cols>
  <sheetData>
    <row r="1" spans="1:30" s="6" customFormat="1" ht="31" x14ac:dyDescent="0.35">
      <c r="A1" s="138" t="s">
        <v>78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</row>
    <row r="2" spans="1:30" s="6" customFormat="1" x14ac:dyDescent="0.35">
      <c r="A2" s="153" t="s">
        <v>44</v>
      </c>
      <c r="B2" s="153"/>
      <c r="C2" s="124">
        <f>'Card Data'!$B$2</f>
        <v>44454</v>
      </c>
      <c r="D2" s="125"/>
      <c r="E2"/>
      <c r="O2" s="152" t="s">
        <v>49</v>
      </c>
      <c r="P2" s="152"/>
      <c r="Q2" s="152"/>
      <c r="R2" s="152"/>
      <c r="V2"/>
      <c r="W2"/>
      <c r="X2"/>
      <c r="Y2"/>
      <c r="Z2"/>
      <c r="AA2"/>
      <c r="AB2"/>
      <c r="AC2"/>
      <c r="AD2"/>
    </row>
    <row r="3" spans="1:30" s="6" customFormat="1" ht="15" thickBot="1" x14ac:dyDescent="0.4">
      <c r="V3"/>
      <c r="W3"/>
      <c r="X3"/>
      <c r="Y3"/>
      <c r="Z3"/>
      <c r="AA3"/>
      <c r="AB3"/>
      <c r="AC3"/>
      <c r="AD3"/>
    </row>
    <row r="4" spans="1:30" ht="15" thickBot="1" x14ac:dyDescent="0.4">
      <c r="A4" s="132" t="s">
        <v>32</v>
      </c>
      <c r="B4" s="148" t="s">
        <v>56</v>
      </c>
      <c r="C4" s="149"/>
      <c r="D4" s="59">
        <f>'Electricity Calculations'!$F$5</f>
        <v>10.324999999999999</v>
      </c>
      <c r="E4" s="1"/>
      <c r="F4" s="148" t="s">
        <v>50</v>
      </c>
      <c r="G4" s="149"/>
      <c r="H4" s="57">
        <f>'Card Data'!$C$5</f>
        <v>4530.5</v>
      </c>
      <c r="I4" s="1"/>
      <c r="J4" s="148" t="s">
        <v>112</v>
      </c>
      <c r="K4" s="149"/>
      <c r="L4" s="57">
        <f>'Card Data'!$C$7</f>
        <v>6454</v>
      </c>
      <c r="N4" s="130" t="s">
        <v>48</v>
      </c>
      <c r="O4" s="131"/>
      <c r="P4" s="150">
        <f>$L$4*$L$5*$H$4/$D$5/10000</f>
        <v>9.0654533410261333</v>
      </c>
    </row>
    <row r="5" spans="1:30" s="6" customFormat="1" ht="15" thickBot="1" x14ac:dyDescent="0.4">
      <c r="A5" s="133"/>
      <c r="B5" s="148" t="s">
        <v>46</v>
      </c>
      <c r="C5" s="149"/>
      <c r="D5" s="58">
        <f>'Card Data'!$C$4</f>
        <v>701.95500000000004</v>
      </c>
      <c r="E5" s="1"/>
      <c r="F5" s="148" t="s">
        <v>111</v>
      </c>
      <c r="G5" s="149"/>
      <c r="H5" s="57">
        <f>'Card Data'!$C$6</f>
        <v>14046</v>
      </c>
      <c r="I5" s="1"/>
      <c r="J5" s="148" t="s">
        <v>39</v>
      </c>
      <c r="K5" s="149"/>
      <c r="L5" s="59">
        <f>$H$5/$L$4</f>
        <v>2.1763247598388595</v>
      </c>
      <c r="N5" s="154"/>
      <c r="O5" s="155"/>
      <c r="P5" s="151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" thickBot="1" x14ac:dyDescent="0.4">
      <c r="A6" s="133"/>
      <c r="V6"/>
      <c r="W6"/>
      <c r="X6"/>
      <c r="Y6"/>
      <c r="Z6"/>
      <c r="AA6"/>
      <c r="AB6"/>
      <c r="AC6"/>
      <c r="AD6"/>
    </row>
    <row r="7" spans="1:30" ht="15" thickBot="1" x14ac:dyDescent="0.4">
      <c r="A7" s="133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35">
      <c r="A8" s="133"/>
      <c r="B8" s="26" t="s">
        <v>51</v>
      </c>
      <c r="C8" s="61">
        <f>$P$4*C9/100</f>
        <v>2.7196360023078396</v>
      </c>
      <c r="D8" s="83">
        <f>$P$4*D9/100</f>
        <v>2.8918796157873361</v>
      </c>
      <c r="E8" s="27">
        <f t="shared" ref="E8:R8" si="0">$P$4*E9/100</f>
        <v>3.0822541359488853</v>
      </c>
      <c r="F8" s="27">
        <f t="shared" si="0"/>
        <v>4.1701085368720214</v>
      </c>
      <c r="G8" s="27">
        <f t="shared" si="0"/>
        <v>2.7196360023078396</v>
      </c>
      <c r="H8" s="27">
        <f t="shared" si="0"/>
        <v>2.9009450691283627</v>
      </c>
      <c r="I8" s="27">
        <f t="shared" si="0"/>
        <v>3.8301540365835418</v>
      </c>
      <c r="J8" s="27">
        <f t="shared" si="0"/>
        <v>3.9887994700514984</v>
      </c>
      <c r="K8" s="27">
        <f t="shared" si="0"/>
        <v>3.8981449366412373</v>
      </c>
      <c r="L8" s="27">
        <f t="shared" si="0"/>
        <v>3.8981449366412373</v>
      </c>
      <c r="M8" s="27">
        <f t="shared" si="0"/>
        <v>3.8256213099130285</v>
      </c>
      <c r="N8" s="27">
        <f t="shared" si="0"/>
        <v>5.3667483778874718</v>
      </c>
      <c r="O8" s="27">
        <f t="shared" si="0"/>
        <v>5.4845992713208105</v>
      </c>
      <c r="P8" s="27">
        <f t="shared" si="0"/>
        <v>5.4900385433254266</v>
      </c>
      <c r="Q8" s="27">
        <f t="shared" si="0"/>
        <v>8.4308716071543035</v>
      </c>
      <c r="R8" s="28">
        <f t="shared" si="0"/>
        <v>10.878544009231359</v>
      </c>
      <c r="S8" s="2"/>
    </row>
    <row r="9" spans="1:30" x14ac:dyDescent="0.35">
      <c r="A9" s="133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35">
      <c r="A10" s="133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35">
      <c r="A11" s="133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6.5" x14ac:dyDescent="0.35">
      <c r="A12" s="133"/>
      <c r="B12" s="29" t="s">
        <v>52</v>
      </c>
      <c r="C12" s="33">
        <f t="shared" ref="C12:R12" si="2">C8-C11</f>
        <v>2.4222760023078398</v>
      </c>
      <c r="D12" s="87">
        <f t="shared" ref="D12" si="3">D8-D11</f>
        <v>2.5573496157873361</v>
      </c>
      <c r="E12" s="34">
        <f t="shared" si="2"/>
        <v>2.6609941359488856</v>
      </c>
      <c r="F12" s="34">
        <f t="shared" si="2"/>
        <v>3.5753885368720217</v>
      </c>
      <c r="G12" s="34">
        <f t="shared" ref="G12" si="4">G8-G11</f>
        <v>2.4966160023078396</v>
      </c>
      <c r="H12" s="34">
        <f>H8-H11</f>
        <v>2.6779250691283627</v>
      </c>
      <c r="I12" s="34">
        <f t="shared" si="2"/>
        <v>3.5575740365835418</v>
      </c>
      <c r="J12" s="34">
        <f t="shared" si="2"/>
        <v>3.6914394700514985</v>
      </c>
      <c r="K12" s="34">
        <f t="shared" si="2"/>
        <v>3.5883949366412375</v>
      </c>
      <c r="L12" s="34">
        <f t="shared" si="2"/>
        <v>3.6305209366412372</v>
      </c>
      <c r="M12" s="34">
        <f t="shared" si="2"/>
        <v>3.4787013099130286</v>
      </c>
      <c r="N12" s="34">
        <f t="shared" si="2"/>
        <v>4.7968083778874719</v>
      </c>
      <c r="O12" s="34">
        <f t="shared" si="2"/>
        <v>5.1872392713208102</v>
      </c>
      <c r="P12" s="34">
        <f t="shared" si="2"/>
        <v>5.1926785433254263</v>
      </c>
      <c r="Q12" s="34">
        <f t="shared" si="2"/>
        <v>7.7865916071543033</v>
      </c>
      <c r="R12" s="35">
        <f t="shared" si="2"/>
        <v>10.172314009231359</v>
      </c>
    </row>
    <row r="13" spans="1:30" ht="16.5" x14ac:dyDescent="0.35">
      <c r="A13" s="133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35">
      <c r="A14" s="133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35">
      <c r="A15" s="133"/>
      <c r="B15" s="15" t="s">
        <v>54</v>
      </c>
      <c r="C15" s="39">
        <f t="shared" ref="C15:D15" si="6">C13/C12</f>
        <v>218.80248142451106</v>
      </c>
      <c r="D15" s="90">
        <f t="shared" si="6"/>
        <v>215.06640961590637</v>
      </c>
      <c r="E15" s="40">
        <f t="shared" ref="E15:R15" si="7">E13/E12</f>
        <v>206.68967006343107</v>
      </c>
      <c r="F15" s="40">
        <f t="shared" si="7"/>
        <v>237.7364001797786</v>
      </c>
      <c r="G15" s="40">
        <f t="shared" ref="G15" si="8">G13/G12</f>
        <v>260.35241278560596</v>
      </c>
      <c r="H15" s="40">
        <f t="shared" si="7"/>
        <v>280.06758241526052</v>
      </c>
      <c r="I15" s="40">
        <f t="shared" si="7"/>
        <v>238.92686174882354</v>
      </c>
      <c r="J15" s="40">
        <f t="shared" si="7"/>
        <v>243.80732971559311</v>
      </c>
      <c r="K15" s="40">
        <f>K13/K12</f>
        <v>264.74231983205465</v>
      </c>
      <c r="L15" s="40">
        <f t="shared" si="7"/>
        <v>261.67043699213286</v>
      </c>
      <c r="M15" s="40">
        <f t="shared" si="7"/>
        <v>316.20995940795541</v>
      </c>
      <c r="N15" s="40">
        <f t="shared" si="7"/>
        <v>250.1663409219785</v>
      </c>
      <c r="O15" s="40">
        <f t="shared" si="7"/>
        <v>289.17116052332398</v>
      </c>
      <c r="P15" s="40">
        <f t="shared" si="7"/>
        <v>337.01296650635499</v>
      </c>
      <c r="Q15" s="40">
        <f t="shared" si="7"/>
        <v>301.80085441245245</v>
      </c>
      <c r="R15" s="41">
        <f t="shared" si="7"/>
        <v>344.07117169443995</v>
      </c>
    </row>
    <row r="16" spans="1:30" ht="17" thickBot="1" x14ac:dyDescent="0.4">
      <c r="A16" s="133"/>
      <c r="B16" s="8" t="s">
        <v>40</v>
      </c>
      <c r="C16" s="36">
        <f>IFERROR(C12*365/C13,"N/A")</f>
        <v>1.6681712091365313</v>
      </c>
      <c r="D16" s="91">
        <f t="shared" ref="D16:R16" si="9">IFERROR(D12*365/D13,"N/A")</f>
        <v>1.6971501995679594</v>
      </c>
      <c r="E16" s="37">
        <f t="shared" si="9"/>
        <v>1.7659324720388059</v>
      </c>
      <c r="F16" s="37">
        <f t="shared" si="9"/>
        <v>1.5353139011273975</v>
      </c>
      <c r="G16" s="37">
        <f t="shared" si="9"/>
        <v>1.4019459089882484</v>
      </c>
      <c r="H16" s="37">
        <f t="shared" si="9"/>
        <v>1.3032568669758033</v>
      </c>
      <c r="I16" s="37">
        <f t="shared" si="9"/>
        <v>1.5276641451211679</v>
      </c>
      <c r="J16" s="37">
        <f t="shared" si="9"/>
        <v>1.4970837850764411</v>
      </c>
      <c r="K16" s="37">
        <f t="shared" si="9"/>
        <v>1.3786991072358439</v>
      </c>
      <c r="L16" s="37">
        <f t="shared" si="9"/>
        <v>1.3948843598674228</v>
      </c>
      <c r="M16" s="37">
        <f t="shared" si="9"/>
        <v>1.1542963437438685</v>
      </c>
      <c r="N16" s="37">
        <f t="shared" si="9"/>
        <v>1.4590292149407726</v>
      </c>
      <c r="O16" s="37">
        <f t="shared" si="9"/>
        <v>1.2622282226880639</v>
      </c>
      <c r="P16" s="37">
        <f t="shared" si="9"/>
        <v>1.0830443818935889</v>
      </c>
      <c r="Q16" s="37">
        <f t="shared" si="9"/>
        <v>1.2094067815367322</v>
      </c>
      <c r="R16" s="38">
        <f t="shared" si="9"/>
        <v>1.0608270323912703</v>
      </c>
    </row>
    <row r="17" spans="1:30" s="6" customFormat="1" x14ac:dyDescent="0.35">
      <c r="A17" s="133"/>
      <c r="B17" s="139" t="s">
        <v>41</v>
      </c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1"/>
      <c r="V17"/>
      <c r="W17"/>
      <c r="X17"/>
      <c r="Y17"/>
      <c r="Z17"/>
      <c r="AA17"/>
      <c r="AB17"/>
      <c r="AC17"/>
      <c r="AD17"/>
    </row>
    <row r="18" spans="1:30" ht="15" x14ac:dyDescent="0.35">
      <c r="A18" s="133"/>
      <c r="B18" s="142" t="s">
        <v>43</v>
      </c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4"/>
    </row>
    <row r="19" spans="1:30" ht="15.5" thickBot="1" x14ac:dyDescent="0.4">
      <c r="A19" s="134"/>
      <c r="B19" s="145" t="s">
        <v>42</v>
      </c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7"/>
    </row>
    <row r="20" spans="1:30" ht="15" thickBot="1" x14ac:dyDescent="0.4"/>
    <row r="21" spans="1:30" ht="15" thickBot="1" x14ac:dyDescent="0.4">
      <c r="A21" s="132" t="s">
        <v>18</v>
      </c>
      <c r="B21" s="108" t="s">
        <v>33</v>
      </c>
      <c r="C21" s="60">
        <f>1-2/$L$5</f>
        <v>8.1019507333048524E-2</v>
      </c>
      <c r="D21" s="92"/>
    </row>
    <row r="22" spans="1:30" ht="15.75" customHeight="1" thickBot="1" x14ac:dyDescent="0.4">
      <c r="A22" s="133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35">
      <c r="A23" s="133"/>
      <c r="B23" s="42" t="s">
        <v>35</v>
      </c>
      <c r="C23" s="43">
        <f t="shared" ref="C23:R23" si="11">C$8*(1-$C$21)</f>
        <v>2.4992924332756368</v>
      </c>
      <c r="D23" s="93">
        <f t="shared" si="11"/>
        <v>2.6575809540497604</v>
      </c>
      <c r="E23" s="44">
        <f t="shared" si="11"/>
        <v>2.8325314243790554</v>
      </c>
      <c r="F23" s="44">
        <f t="shared" si="11"/>
        <v>3.8322483976893102</v>
      </c>
      <c r="G23" s="44">
        <f t="shared" si="11"/>
        <v>2.4992924332756368</v>
      </c>
      <c r="H23" s="44">
        <f t="shared" si="11"/>
        <v>2.6659119288273465</v>
      </c>
      <c r="I23" s="44">
        <f t="shared" si="11"/>
        <v>3.5198368435298559</v>
      </c>
      <c r="J23" s="44">
        <f t="shared" si="11"/>
        <v>3.665628902137601</v>
      </c>
      <c r="K23" s="44">
        <f t="shared" si="11"/>
        <v>3.5823191543617465</v>
      </c>
      <c r="L23" s="44">
        <f t="shared" si="11"/>
        <v>3.5823191543617465</v>
      </c>
      <c r="M23" s="44">
        <f t="shared" si="11"/>
        <v>3.5156713561410631</v>
      </c>
      <c r="N23" s="44">
        <f t="shared" si="11"/>
        <v>4.9319370683305914</v>
      </c>
      <c r="O23" s="44">
        <f t="shared" si="11"/>
        <v>5.0402397404392012</v>
      </c>
      <c r="P23" s="44">
        <f t="shared" si="11"/>
        <v>5.0452383253057533</v>
      </c>
      <c r="Q23" s="44">
        <f t="shared" si="11"/>
        <v>7.7478065431544749</v>
      </c>
      <c r="R23" s="45">
        <f t="shared" si="11"/>
        <v>9.9971697331025471</v>
      </c>
    </row>
    <row r="24" spans="1:30" x14ac:dyDescent="0.35">
      <c r="A24" s="133"/>
      <c r="B24" s="22" t="s">
        <v>17</v>
      </c>
      <c r="C24" s="50">
        <f t="shared" ref="C24:R24" si="12">C23-C$11</f>
        <v>2.2019324332756369</v>
      </c>
      <c r="D24" s="94">
        <f t="shared" ref="D24" si="13">D23-D$11</f>
        <v>2.3230509540497604</v>
      </c>
      <c r="E24" s="51">
        <f t="shared" si="12"/>
        <v>2.4112714243790556</v>
      </c>
      <c r="F24" s="51">
        <f t="shared" si="12"/>
        <v>3.2375283976893101</v>
      </c>
      <c r="G24" s="51">
        <f t="shared" ref="G24" si="14">G23-G$11</f>
        <v>2.2762724332756368</v>
      </c>
      <c r="H24" s="51">
        <f t="shared" si="12"/>
        <v>2.4428919288273465</v>
      </c>
      <c r="I24" s="51">
        <f t="shared" si="12"/>
        <v>3.2472568435298559</v>
      </c>
      <c r="J24" s="51">
        <f t="shared" si="12"/>
        <v>3.3682689021376011</v>
      </c>
      <c r="K24" s="51">
        <f t="shared" si="12"/>
        <v>3.2725691543617463</v>
      </c>
      <c r="L24" s="51">
        <f t="shared" si="12"/>
        <v>3.3146951543617464</v>
      </c>
      <c r="M24" s="51">
        <f t="shared" si="12"/>
        <v>3.1687513561410632</v>
      </c>
      <c r="N24" s="51">
        <f t="shared" si="12"/>
        <v>4.3619970683305915</v>
      </c>
      <c r="O24" s="51">
        <f t="shared" si="12"/>
        <v>4.7428797404392009</v>
      </c>
      <c r="P24" s="51">
        <f t="shared" si="12"/>
        <v>4.747878325305753</v>
      </c>
      <c r="Q24" s="51">
        <f t="shared" si="12"/>
        <v>7.1035265431544747</v>
      </c>
      <c r="R24" s="52">
        <f t="shared" si="12"/>
        <v>9.2909397331025474</v>
      </c>
    </row>
    <row r="25" spans="1:30" x14ac:dyDescent="0.35">
      <c r="A25" s="133"/>
      <c r="B25" s="46" t="s">
        <v>15</v>
      </c>
      <c r="C25" s="47">
        <f t="shared" ref="C25:R25" si="15">IF(C24&gt;0,C$13/C24,"N/A")</f>
        <v>240.69766719025154</v>
      </c>
      <c r="D25" s="95">
        <f t="shared" ref="D25" si="16">IF(D24&gt;0,D$13/D24,"N/A")</f>
        <v>236.75761353455826</v>
      </c>
      <c r="E25" s="48">
        <f t="shared" si="15"/>
        <v>228.09543315582343</v>
      </c>
      <c r="F25" s="48">
        <f t="shared" si="15"/>
        <v>262.54595962977879</v>
      </c>
      <c r="G25" s="48">
        <f t="shared" ref="G25" si="17">IF(G24&gt;0,G$13/G24,"N/A")</f>
        <v>285.55457180695498</v>
      </c>
      <c r="H25" s="48">
        <f t="shared" si="15"/>
        <v>307.0131720317321</v>
      </c>
      <c r="I25" s="48">
        <f t="shared" si="15"/>
        <v>261.75939907359685</v>
      </c>
      <c r="J25" s="48">
        <f t="shared" si="15"/>
        <v>267.19956931848105</v>
      </c>
      <c r="K25" s="48">
        <f t="shared" si="15"/>
        <v>290.29180291998438</v>
      </c>
      <c r="L25" s="48">
        <f t="shared" si="15"/>
        <v>286.60252474497162</v>
      </c>
      <c r="M25" s="48">
        <f t="shared" si="15"/>
        <v>347.13989088105382</v>
      </c>
      <c r="N25" s="48">
        <f t="shared" si="15"/>
        <v>275.10334858140101</v>
      </c>
      <c r="O25" s="48">
        <f t="shared" si="15"/>
        <v>316.26355338731332</v>
      </c>
      <c r="P25" s="48">
        <f t="shared" si="15"/>
        <v>368.58568819522219</v>
      </c>
      <c r="Q25" s="48">
        <f t="shared" si="15"/>
        <v>330.82159765625818</v>
      </c>
      <c r="R25" s="49">
        <f t="shared" si="15"/>
        <v>376.71108634252607</v>
      </c>
    </row>
    <row r="26" spans="1:30" ht="15" thickBot="1" x14ac:dyDescent="0.4">
      <c r="A26" s="133"/>
      <c r="B26" s="53" t="s">
        <v>16</v>
      </c>
      <c r="C26" s="54">
        <f>IFERROR(C24*365/C$13,"N/A")</f>
        <v>1.5164251663124668</v>
      </c>
      <c r="D26" s="96">
        <f t="shared" ref="D26:R26" si="18">IFERROR(D24*365/D$13,"N/A")</f>
        <v>1.5416610876875683</v>
      </c>
      <c r="E26" s="55">
        <f t="shared" si="18"/>
        <v>1.6002073998151916</v>
      </c>
      <c r="F26" s="55">
        <f t="shared" si="18"/>
        <v>1.3902327825371745</v>
      </c>
      <c r="G26" s="55">
        <f t="shared" si="18"/>
        <v>1.2782145202240114</v>
      </c>
      <c r="H26" s="55">
        <f t="shared" si="18"/>
        <v>1.1888740720293087</v>
      </c>
      <c r="I26" s="55">
        <f t="shared" si="18"/>
        <v>1.3944102916334087</v>
      </c>
      <c r="J26" s="55">
        <f t="shared" si="18"/>
        <v>1.3660201658669162</v>
      </c>
      <c r="K26" s="55">
        <f t="shared" si="18"/>
        <v>1.2573555172021447</v>
      </c>
      <c r="L26" s="55">
        <f t="shared" si="18"/>
        <v>1.2735407698337236</v>
      </c>
      <c r="M26" s="55">
        <f t="shared" si="18"/>
        <v>1.0514493136286256</v>
      </c>
      <c r="N26" s="55">
        <f t="shared" si="18"/>
        <v>1.3267741082838884</v>
      </c>
      <c r="O26" s="55">
        <f t="shared" si="18"/>
        <v>1.1541007368402056</v>
      </c>
      <c r="P26" s="55">
        <f t="shared" si="18"/>
        <v>0.99027176499234271</v>
      </c>
      <c r="Q26" s="55">
        <f t="shared" si="18"/>
        <v>1.1033136971282482</v>
      </c>
      <c r="R26" s="56">
        <f t="shared" si="18"/>
        <v>0.9689122864521228</v>
      </c>
    </row>
    <row r="27" spans="1:30" ht="108.75" customHeight="1" thickBot="1" x14ac:dyDescent="0.4">
      <c r="A27" s="134"/>
      <c r="B27" s="135" t="s">
        <v>38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7"/>
    </row>
    <row r="28" spans="1:30" ht="15" thickBot="1" x14ac:dyDescent="0.4"/>
    <row r="29" spans="1:30" ht="15" thickBot="1" x14ac:dyDescent="0.4">
      <c r="A29" s="132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4">
      <c r="A30" s="133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35">
      <c r="A31" s="133"/>
      <c r="B31" s="42" t="s">
        <v>35</v>
      </c>
      <c r="C31" s="43">
        <f t="shared" ref="C31:R31" si="20">C$8*(1-$C$29)</f>
        <v>0.16066177095484049</v>
      </c>
      <c r="D31" s="93">
        <f t="shared" si="20"/>
        <v>0.17083701644864704</v>
      </c>
      <c r="E31" s="44">
        <f t="shared" si="20"/>
        <v>0.18208334041548591</v>
      </c>
      <c r="F31" s="44">
        <f t="shared" si="20"/>
        <v>0.24634804879742214</v>
      </c>
      <c r="G31" s="44">
        <f t="shared" si="20"/>
        <v>0.16066177095484049</v>
      </c>
      <c r="H31" s="44">
        <f t="shared" si="20"/>
        <v>0.17137255568516321</v>
      </c>
      <c r="I31" s="44">
        <f t="shared" si="20"/>
        <v>0.2262653274280671</v>
      </c>
      <c r="J31" s="44">
        <f t="shared" si="20"/>
        <v>0.23563726406709939</v>
      </c>
      <c r="K31" s="44">
        <f t="shared" si="20"/>
        <v>0.23028187170193806</v>
      </c>
      <c r="L31" s="44">
        <f t="shared" si="20"/>
        <v>0.23028187170193806</v>
      </c>
      <c r="M31" s="44">
        <f t="shared" si="20"/>
        <v>0.22599755780980901</v>
      </c>
      <c r="N31" s="44">
        <f t="shared" si="20"/>
        <v>0.31703922801755202</v>
      </c>
      <c r="O31" s="44">
        <f t="shared" si="20"/>
        <v>0.32400123809226172</v>
      </c>
      <c r="P31" s="44">
        <f t="shared" si="20"/>
        <v>0.32432256163417139</v>
      </c>
      <c r="Q31" s="44">
        <f t="shared" si="20"/>
        <v>0.49805148996000559</v>
      </c>
      <c r="R31" s="45">
        <f t="shared" si="20"/>
        <v>0.64264708381936198</v>
      </c>
    </row>
    <row r="32" spans="1:30" x14ac:dyDescent="0.35">
      <c r="A32" s="133"/>
      <c r="B32" s="22" t="s">
        <v>17</v>
      </c>
      <c r="C32" s="50">
        <f t="shared" ref="C32:R32" si="21">C31-C$11</f>
        <v>-0.13669822904515946</v>
      </c>
      <c r="D32" s="94">
        <f t="shared" ref="D32" si="22">D31-D$11</f>
        <v>-0.16369298355135301</v>
      </c>
      <c r="E32" s="51">
        <f t="shared" si="21"/>
        <v>-0.23917665958451406</v>
      </c>
      <c r="F32" s="51">
        <f t="shared" si="21"/>
        <v>-0.3483719512025778</v>
      </c>
      <c r="G32" s="51">
        <f t="shared" ref="G32" si="23">G31-G$11</f>
        <v>-6.2358229045159502E-2</v>
      </c>
      <c r="H32" s="51">
        <f t="shared" si="21"/>
        <v>-5.1647444314836782E-2</v>
      </c>
      <c r="I32" s="51">
        <f t="shared" si="21"/>
        <v>-4.6314672571932891E-2</v>
      </c>
      <c r="J32" s="51">
        <f t="shared" si="21"/>
        <v>-6.1722735932900563E-2</v>
      </c>
      <c r="K32" s="51">
        <f t="shared" si="21"/>
        <v>-7.9468128298061907E-2</v>
      </c>
      <c r="L32" s="51">
        <f t="shared" si="21"/>
        <v>-3.7342128298061911E-2</v>
      </c>
      <c r="M32" s="51">
        <f t="shared" si="21"/>
        <v>-0.12092244219019094</v>
      </c>
      <c r="N32" s="51">
        <f t="shared" si="21"/>
        <v>-0.25290077198244787</v>
      </c>
      <c r="O32" s="51">
        <f t="shared" si="21"/>
        <v>2.6641238092261765E-2</v>
      </c>
      <c r="P32" s="51">
        <f t="shared" si="21"/>
        <v>2.6962561634171434E-2</v>
      </c>
      <c r="Q32" s="51">
        <f t="shared" si="21"/>
        <v>-0.14622851003999437</v>
      </c>
      <c r="R32" s="52">
        <f t="shared" si="21"/>
        <v>-6.3582916180637938E-2</v>
      </c>
    </row>
    <row r="33" spans="1:18" x14ac:dyDescent="0.35">
      <c r="A33" s="133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56303.689596006094</v>
      </c>
      <c r="P33" s="48">
        <f t="shared" si="24"/>
        <v>64904.81222607979</v>
      </c>
      <c r="Q33" s="48" t="str">
        <f t="shared" si="24"/>
        <v>N/A</v>
      </c>
      <c r="R33" s="49" t="str">
        <f t="shared" si="24"/>
        <v>N/A</v>
      </c>
    </row>
    <row r="34" spans="1:18" ht="15" thickBot="1" x14ac:dyDescent="0.4">
      <c r="A34" s="133"/>
      <c r="B34" s="53" t="s">
        <v>16</v>
      </c>
      <c r="C34" s="54">
        <f>IFERROR(C32*365/C$13,"N/A")</f>
        <v>-9.4141233210345676E-2</v>
      </c>
      <c r="D34" s="96">
        <f t="shared" ref="D34:R34" si="27">IFERROR(D32*365/D$13,"N/A")</f>
        <v>-0.10863261635680699</v>
      </c>
      <c r="E34" s="55">
        <f t="shared" si="27"/>
        <v>-0.15872632863335934</v>
      </c>
      <c r="F34" s="55">
        <f t="shared" si="27"/>
        <v>-0.14959501433993047</v>
      </c>
      <c r="G34" s="55">
        <f t="shared" si="27"/>
        <v>-3.501654400228188E-2</v>
      </c>
      <c r="H34" s="55">
        <f t="shared" si="27"/>
        <v>-2.51350895665539E-2</v>
      </c>
      <c r="I34" s="55">
        <f t="shared" si="27"/>
        <v>-1.9888065280888829E-2</v>
      </c>
      <c r="J34" s="55">
        <f t="shared" si="27"/>
        <v>-2.5031998461676339E-2</v>
      </c>
      <c r="K34" s="55">
        <f t="shared" si="27"/>
        <v>-3.0532491398729048E-2</v>
      </c>
      <c r="L34" s="55">
        <f t="shared" si="27"/>
        <v>-1.4347238767150102E-2</v>
      </c>
      <c r="M34" s="55">
        <f t="shared" si="27"/>
        <v>-4.0124264908563356E-2</v>
      </c>
      <c r="N34" s="55">
        <f t="shared" si="27"/>
        <v>-7.6923984811327895E-2</v>
      </c>
      <c r="O34" s="55">
        <f t="shared" si="27"/>
        <v>6.4827012691170294E-3</v>
      </c>
      <c r="P34" s="55">
        <f t="shared" si="27"/>
        <v>5.6236199979843278E-3</v>
      </c>
      <c r="Q34" s="55">
        <f t="shared" si="27"/>
        <v>-2.2712087729616148E-2</v>
      </c>
      <c r="R34" s="56">
        <f t="shared" si="27"/>
        <v>-6.6307898302665281E-3</v>
      </c>
    </row>
    <row r="35" spans="1:18" ht="80.25" customHeight="1" thickBot="1" x14ac:dyDescent="0.4">
      <c r="A35" s="134"/>
      <c r="B35" s="135" t="s">
        <v>47</v>
      </c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7"/>
    </row>
    <row r="36" spans="1:18" ht="15" thickBot="1" x14ac:dyDescent="0.4"/>
    <row r="37" spans="1:18" ht="15" thickBot="1" x14ac:dyDescent="0.4">
      <c r="A37" s="132" t="s">
        <v>34</v>
      </c>
      <c r="B37" s="108" t="s">
        <v>33</v>
      </c>
      <c r="C37" s="60">
        <f>1-485/1405</f>
        <v>0.65480427046263345</v>
      </c>
      <c r="D37" s="92"/>
    </row>
    <row r="38" spans="1:18" ht="15" thickBot="1" x14ac:dyDescent="0.4">
      <c r="A38" s="133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35">
      <c r="A39" s="133"/>
      <c r="B39" s="42" t="s">
        <v>35</v>
      </c>
      <c r="C39" s="43">
        <f t="shared" ref="C39:R39" si="29">C$8*(1-$C$37)</f>
        <v>0.93880673389274183</v>
      </c>
      <c r="D39" s="93">
        <f t="shared" si="29"/>
        <v>0.99826449370594872</v>
      </c>
      <c r="E39" s="44">
        <f t="shared" si="29"/>
        <v>1.0639809650784409</v>
      </c>
      <c r="F39" s="44">
        <f t="shared" si="29"/>
        <v>1.4395036586355376</v>
      </c>
      <c r="G39" s="44">
        <f t="shared" si="29"/>
        <v>0.93880673389274183</v>
      </c>
      <c r="H39" s="44">
        <f t="shared" si="29"/>
        <v>1.0013938494855914</v>
      </c>
      <c r="I39" s="44">
        <f t="shared" si="29"/>
        <v>1.3221528168989449</v>
      </c>
      <c r="J39" s="44">
        <f t="shared" si="29"/>
        <v>1.376916543042688</v>
      </c>
      <c r="K39" s="44">
        <f t="shared" si="29"/>
        <v>1.3456229852462633</v>
      </c>
      <c r="L39" s="44">
        <f t="shared" si="29"/>
        <v>1.3456229852462633</v>
      </c>
      <c r="M39" s="44">
        <f t="shared" si="29"/>
        <v>1.3205881390091236</v>
      </c>
      <c r="N39" s="44">
        <f t="shared" si="29"/>
        <v>1.8525786215483444</v>
      </c>
      <c r="O39" s="44">
        <f t="shared" si="29"/>
        <v>1.8932602466836961</v>
      </c>
      <c r="P39" s="44">
        <f t="shared" si="29"/>
        <v>1.8951378601514819</v>
      </c>
      <c r="Q39" s="44">
        <f t="shared" si="29"/>
        <v>2.9103008750674997</v>
      </c>
      <c r="R39" s="45">
        <f t="shared" si="29"/>
        <v>3.7552269355709673</v>
      </c>
    </row>
    <row r="40" spans="1:18" x14ac:dyDescent="0.35">
      <c r="A40" s="133"/>
      <c r="B40" s="22" t="s">
        <v>17</v>
      </c>
      <c r="C40" s="50">
        <f>C39-C$11</f>
        <v>0.64144673389274187</v>
      </c>
      <c r="D40" s="94">
        <f>D39-D$11</f>
        <v>0.66373449370594861</v>
      </c>
      <c r="E40" s="51">
        <f>E39-E$11</f>
        <v>0.6427209650784409</v>
      </c>
      <c r="F40" s="51">
        <f t="shared" ref="F40:G40" si="30">F39-F$11</f>
        <v>0.84478365863553773</v>
      </c>
      <c r="G40" s="51">
        <f t="shared" si="30"/>
        <v>0.71578673389274183</v>
      </c>
      <c r="H40" s="51">
        <f t="shared" ref="H40" si="31">H39-H$11</f>
        <v>0.77837384948559141</v>
      </c>
      <c r="I40" s="51">
        <f t="shared" ref="I40" si="32">I39-I$11</f>
        <v>1.0495728168989449</v>
      </c>
      <c r="J40" s="51">
        <f t="shared" ref="J40" si="33">J39-J$11</f>
        <v>1.0795565430426879</v>
      </c>
      <c r="K40" s="51">
        <f t="shared" ref="K40" si="34">K39-K$11</f>
        <v>1.0358729852462634</v>
      </c>
      <c r="L40" s="51">
        <f t="shared" ref="L40" si="35">L39-L$11</f>
        <v>1.0779989852462633</v>
      </c>
      <c r="M40" s="51">
        <f t="shared" ref="M40" si="36">M39-M$11</f>
        <v>0.97366813900912375</v>
      </c>
      <c r="N40" s="51">
        <f t="shared" ref="N40" si="37">N39-N$11</f>
        <v>1.2826386215483445</v>
      </c>
      <c r="O40" s="51">
        <f t="shared" ref="O40" si="38">O39-O$11</f>
        <v>1.595900246683696</v>
      </c>
      <c r="P40" s="51">
        <f t="shared" ref="P40" si="39">P39-P$11</f>
        <v>1.5977778601514818</v>
      </c>
      <c r="Q40" s="51">
        <f t="shared" ref="Q40" si="40">Q39-Q$11</f>
        <v>2.2660208750674995</v>
      </c>
      <c r="R40" s="52">
        <f>R39-R$11</f>
        <v>3.0489969355709672</v>
      </c>
    </row>
    <row r="41" spans="1:18" x14ac:dyDescent="0.35">
      <c r="A41" s="133"/>
      <c r="B41" s="46" t="s">
        <v>15</v>
      </c>
      <c r="C41" s="47">
        <f>IF(C40&gt;0,C$13/C40,"N/A")</f>
        <v>826.25722760110398</v>
      </c>
      <c r="D41" s="95">
        <f>IF(D40&gt;0,D$13/D40,"N/A")</f>
        <v>828.64459390845536</v>
      </c>
      <c r="E41" s="48">
        <f>IF(E40&gt;0,E$13/E40,"N/A")</f>
        <v>855.73682808506987</v>
      </c>
      <c r="F41" s="48">
        <f t="shared" ref="F41:G41" si="41">IF(F40&gt;0,F$13/F40,"N/A")</f>
        <v>1006.1747659429013</v>
      </c>
      <c r="G41" s="48">
        <f t="shared" si="41"/>
        <v>908.09171115121592</v>
      </c>
      <c r="H41" s="48">
        <f t="shared" ref="H41" si="42">IF(H40&gt;0,H$13/H40,"N/A")</f>
        <v>963.54727294044756</v>
      </c>
      <c r="I41" s="48">
        <f t="shared" ref="I41" si="43">IF(I40&gt;0,I$13/I40,"N/A")</f>
        <v>809.85329108598648</v>
      </c>
      <c r="J41" s="48">
        <f t="shared" ref="J41" si="44">IF(J40&gt;0,J$13/J40,"N/A")</f>
        <v>833.67564746852929</v>
      </c>
      <c r="K41" s="48">
        <f t="shared" ref="K41" si="45">IF(K40&gt;0,K$13/K40,"N/A")</f>
        <v>917.10085457451294</v>
      </c>
      <c r="L41" s="48">
        <f t="shared" ref="L41" si="46">IF(L40&gt;0,L$13/L40,"N/A")</f>
        <v>881.26242510606585</v>
      </c>
      <c r="M41" s="48">
        <f t="shared" ref="M41" si="47">IF(M40&gt;0,M$13/M40,"N/A")</f>
        <v>1129.7483772237231</v>
      </c>
      <c r="N41" s="48">
        <f t="shared" ref="N41" si="48">IF(N40&gt;0,N$13/N40,"N/A")</f>
        <v>935.57139153615469</v>
      </c>
      <c r="O41" s="48">
        <f t="shared" ref="O41" si="49">IF(O40&gt;0,O$13/O40,"N/A")</f>
        <v>939.90837028631449</v>
      </c>
      <c r="P41" s="48">
        <f t="shared" ref="P41" si="50">IF(P40&gt;0,P$13/P40,"N/A")</f>
        <v>1095.2711535470182</v>
      </c>
      <c r="Q41" s="48">
        <f t="shared" ref="Q41" si="51">IF(Q40&gt;0,Q$13/Q40,"N/A")</f>
        <v>1037.0601726826542</v>
      </c>
      <c r="R41" s="49">
        <f>IF(R40&gt;0,R$13/R40,"N/A")</f>
        <v>1147.9185036781862</v>
      </c>
    </row>
    <row r="42" spans="1:18" ht="15" thickBot="1" x14ac:dyDescent="0.4">
      <c r="A42" s="133"/>
      <c r="B42" s="53" t="s">
        <v>16</v>
      </c>
      <c r="C42" s="12">
        <f>IFERROR(C40*365/C$13,"N/A")</f>
        <v>0.44175105258651093</v>
      </c>
      <c r="D42" s="97">
        <f t="shared" ref="D42:R42" si="52">IFERROR(D40*365/D$13,"N/A")</f>
        <v>0.44047834582303863</v>
      </c>
      <c r="E42" s="13">
        <f t="shared" si="52"/>
        <v>0.42653300409751077</v>
      </c>
      <c r="F42" s="13">
        <f t="shared" si="52"/>
        <v>0.36276004164937797</v>
      </c>
      <c r="G42" s="13">
        <f t="shared" si="52"/>
        <v>0.40194178133977043</v>
      </c>
      <c r="H42" s="13">
        <f t="shared" si="52"/>
        <v>0.3788086067496545</v>
      </c>
      <c r="I42" s="13">
        <f t="shared" si="52"/>
        <v>0.45069891549189989</v>
      </c>
      <c r="J42" s="13">
        <f t="shared" si="52"/>
        <v>0.4378201535673123</v>
      </c>
      <c r="K42" s="13">
        <f t="shared" si="52"/>
        <v>0.39799330485777484</v>
      </c>
      <c r="L42" s="13">
        <f t="shared" si="52"/>
        <v>0.41417855748935373</v>
      </c>
      <c r="M42" s="13">
        <f t="shared" si="52"/>
        <v>0.32308079158030018</v>
      </c>
      <c r="N42" s="13">
        <f t="shared" si="52"/>
        <v>0.3901359140542881</v>
      </c>
      <c r="O42" s="13">
        <f t="shared" si="52"/>
        <v>0.38833572669303273</v>
      </c>
      <c r="P42" s="13">
        <f t="shared" si="52"/>
        <v>0.3332508108315948</v>
      </c>
      <c r="Q42" s="13">
        <f t="shared" si="52"/>
        <v>0.35195643378707969</v>
      </c>
      <c r="R42" s="14">
        <f t="shared" si="52"/>
        <v>0.31796682328097231</v>
      </c>
    </row>
    <row r="43" spans="1:18" ht="74.25" customHeight="1" thickBot="1" x14ac:dyDescent="0.4">
      <c r="A43" s="134"/>
      <c r="B43" s="135" t="s">
        <v>37</v>
      </c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7"/>
    </row>
    <row r="44" spans="1:18" x14ac:dyDescent="0.3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N32" sqref="N32"/>
    </sheetView>
  </sheetViews>
  <sheetFormatPr defaultColWidth="0" defaultRowHeight="14.5" zeroHeight="1" x14ac:dyDescent="0.35"/>
  <cols>
    <col min="1" max="1" width="6.453125" style="6" customWidth="1"/>
    <col min="2" max="2" width="22.1796875" style="6" bestFit="1" customWidth="1"/>
    <col min="3" max="18" width="7.54296875" style="6" customWidth="1"/>
    <col min="19" max="19" width="9.1796875" style="6" customWidth="1"/>
    <col min="20" max="21" width="9.1796875" style="6" hidden="1" customWidth="1"/>
    <col min="22" max="22" width="10" style="6" hidden="1" customWidth="1"/>
    <col min="23" max="16384" width="9.1796875" style="6" hidden="1"/>
  </cols>
  <sheetData>
    <row r="1" spans="1:20" ht="31" x14ac:dyDescent="0.35">
      <c r="A1" s="138" t="s">
        <v>75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</row>
    <row r="2" spans="1:20" x14ac:dyDescent="0.35">
      <c r="A2" s="153" t="s">
        <v>44</v>
      </c>
      <c r="B2" s="153"/>
      <c r="C2" s="124">
        <f>'Card Data'!$B$2</f>
        <v>44454</v>
      </c>
      <c r="D2" s="125"/>
      <c r="O2" s="152" t="s">
        <v>49</v>
      </c>
      <c r="P2" s="152"/>
      <c r="Q2" s="152"/>
      <c r="R2" s="152"/>
    </row>
    <row r="3" spans="1:20" ht="15" thickBot="1" x14ac:dyDescent="0.4"/>
    <row r="4" spans="1:20" ht="15" thickBot="1" x14ac:dyDescent="0.4">
      <c r="A4" s="132" t="s">
        <v>32</v>
      </c>
      <c r="B4" s="148" t="s">
        <v>56</v>
      </c>
      <c r="C4" s="149"/>
      <c r="D4" s="59">
        <f>'Electricity Calculations'!$F$5</f>
        <v>10.324999999999999</v>
      </c>
      <c r="E4" s="1"/>
      <c r="F4" s="148" t="s">
        <v>50</v>
      </c>
      <c r="G4" s="149"/>
      <c r="H4" s="57">
        <f>'Card Data'!$C$5</f>
        <v>4530.5</v>
      </c>
      <c r="I4" s="1"/>
      <c r="J4" s="148" t="s">
        <v>112</v>
      </c>
      <c r="K4" s="149"/>
      <c r="L4" s="57">
        <f>'Card Data'!$C$7</f>
        <v>6454</v>
      </c>
      <c r="N4" s="130" t="s">
        <v>48</v>
      </c>
      <c r="O4" s="131"/>
      <c r="P4" s="150">
        <f>$L$4*$L$5*$H$4/$D$5/10000</f>
        <v>9.0654533410261333</v>
      </c>
    </row>
    <row r="5" spans="1:20" ht="15" thickBot="1" x14ac:dyDescent="0.4">
      <c r="A5" s="133"/>
      <c r="B5" s="148" t="s">
        <v>46</v>
      </c>
      <c r="C5" s="149"/>
      <c r="D5" s="58">
        <f>'Card Data'!$C$4</f>
        <v>701.95500000000004</v>
      </c>
      <c r="E5" s="1"/>
      <c r="F5" s="148" t="s">
        <v>111</v>
      </c>
      <c r="G5" s="149"/>
      <c r="H5" s="57">
        <f>'Card Data'!$C$6</f>
        <v>14046</v>
      </c>
      <c r="I5" s="1"/>
      <c r="J5" s="148" t="s">
        <v>39</v>
      </c>
      <c r="K5" s="149"/>
      <c r="L5" s="59">
        <f>$H$5/$L$4</f>
        <v>2.1763247598388595</v>
      </c>
      <c r="N5" s="154"/>
      <c r="O5" s="155"/>
      <c r="P5" s="151"/>
    </row>
    <row r="6" spans="1:20" ht="15" thickBot="1" x14ac:dyDescent="0.4">
      <c r="A6" s="133"/>
    </row>
    <row r="7" spans="1:20" ht="15" thickBot="1" x14ac:dyDescent="0.4">
      <c r="A7" s="133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35">
      <c r="A8" s="133"/>
      <c r="B8" s="26" t="s">
        <v>51</v>
      </c>
      <c r="C8" s="61">
        <f t="shared" ref="C8:R8" si="0">$P$4*C9/100</f>
        <v>2.7558978156719447</v>
      </c>
      <c r="D8" s="83">
        <f t="shared" si="0"/>
        <v>2.7558978156719447</v>
      </c>
      <c r="E8" s="27">
        <f t="shared" si="0"/>
        <v>2.7649632690129704</v>
      </c>
      <c r="F8" s="27">
        <f t="shared" si="0"/>
        <v>2.8374868957411796</v>
      </c>
      <c r="G8" s="27">
        <f t="shared" si="0"/>
        <v>2.7921596290360493</v>
      </c>
      <c r="H8" s="27">
        <f t="shared" si="0"/>
        <v>2.3570178686667949</v>
      </c>
      <c r="I8" s="27">
        <f t="shared" si="0"/>
        <v>3.3542177361796695</v>
      </c>
      <c r="J8" s="27">
        <f t="shared" si="0"/>
        <v>4.8500175374489807</v>
      </c>
      <c r="K8" s="27">
        <f t="shared" si="0"/>
        <v>4.9588029775412954</v>
      </c>
      <c r="L8" s="27">
        <f t="shared" si="0"/>
        <v>4.260763070282283</v>
      </c>
      <c r="M8" s="27">
        <f t="shared" si="0"/>
        <v>5.7474974182105685</v>
      </c>
      <c r="N8" s="27">
        <f t="shared" si="0"/>
        <v>5.83815195162083</v>
      </c>
      <c r="O8" s="27">
        <f t="shared" si="0"/>
        <v>5.8018901382567254</v>
      </c>
      <c r="P8" s="27">
        <f t="shared" si="0"/>
        <v>3.4992649896360875</v>
      </c>
      <c r="Q8" s="27">
        <f t="shared" si="0"/>
        <v>4.260763070282283</v>
      </c>
      <c r="R8" s="28">
        <f t="shared" si="0"/>
        <v>8.204235273628651</v>
      </c>
    </row>
    <row r="9" spans="1:20" x14ac:dyDescent="0.35">
      <c r="A9" s="133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35">
      <c r="A10" s="133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35">
      <c r="A11" s="133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6.5" x14ac:dyDescent="0.35">
      <c r="A12" s="133"/>
      <c r="B12" s="29" t="s">
        <v>52</v>
      </c>
      <c r="C12" s="33">
        <f t="shared" ref="C12:R12" si="2">C8-C11</f>
        <v>2.4585378156719448</v>
      </c>
      <c r="D12" s="87">
        <f t="shared" si="2"/>
        <v>2.4337578156719446</v>
      </c>
      <c r="E12" s="34">
        <f t="shared" si="2"/>
        <v>2.4428232690129703</v>
      </c>
      <c r="F12" s="34">
        <f t="shared" si="2"/>
        <v>2.5153468957411795</v>
      </c>
      <c r="G12" s="34">
        <f t="shared" si="2"/>
        <v>2.4700196290360492</v>
      </c>
      <c r="H12" s="34">
        <f>H8-H11</f>
        <v>2.1835578686667949</v>
      </c>
      <c r="I12" s="34">
        <f t="shared" si="2"/>
        <v>3.1064177361796697</v>
      </c>
      <c r="J12" s="34">
        <f t="shared" si="2"/>
        <v>4.4535375374489803</v>
      </c>
      <c r="K12" s="34">
        <f t="shared" si="2"/>
        <v>4.6118829775412955</v>
      </c>
      <c r="L12" s="34">
        <f t="shared" si="2"/>
        <v>3.8395030702822828</v>
      </c>
      <c r="M12" s="34">
        <f t="shared" si="2"/>
        <v>5.3138474182105684</v>
      </c>
      <c r="N12" s="34">
        <f t="shared" si="2"/>
        <v>5.3673319516208302</v>
      </c>
      <c r="O12" s="34">
        <f t="shared" si="2"/>
        <v>5.2567301382567253</v>
      </c>
      <c r="P12" s="34">
        <f t="shared" si="2"/>
        <v>2.9664949896360877</v>
      </c>
      <c r="Q12" s="34">
        <f t="shared" si="2"/>
        <v>3.7156030702822829</v>
      </c>
      <c r="R12" s="35">
        <f t="shared" si="2"/>
        <v>7.6590752736286509</v>
      </c>
    </row>
    <row r="13" spans="1:20" ht="16.5" x14ac:dyDescent="0.35">
      <c r="A13" s="133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35">
      <c r="A14" s="133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35">
      <c r="A15" s="133"/>
      <c r="B15" s="15" t="s">
        <v>54</v>
      </c>
      <c r="C15" s="39">
        <f t="shared" ref="C15:R15" si="4">C13/C12</f>
        <v>203.37291410071097</v>
      </c>
      <c r="D15" s="90">
        <f t="shared" si="4"/>
        <v>205.44361348540889</v>
      </c>
      <c r="E15" s="40">
        <f t="shared" si="4"/>
        <v>204.68120078208787</v>
      </c>
      <c r="F15" s="40">
        <f t="shared" si="4"/>
        <v>198.77973922665188</v>
      </c>
      <c r="G15" s="40">
        <f t="shared" si="4"/>
        <v>202.42754111032315</v>
      </c>
      <c r="H15" s="40">
        <f t="shared" si="4"/>
        <v>228.98408472466213</v>
      </c>
      <c r="I15" s="40">
        <f t="shared" si="4"/>
        <v>209.24423409949432</v>
      </c>
      <c r="J15" s="40">
        <f t="shared" si="4"/>
        <v>202.08654186297187</v>
      </c>
      <c r="K15" s="40">
        <f t="shared" si="4"/>
        <v>205.98961522359954</v>
      </c>
      <c r="L15" s="40">
        <f t="shared" si="4"/>
        <v>208.36029698530322</v>
      </c>
      <c r="M15" s="40">
        <f t="shared" si="4"/>
        <v>244.64383293071171</v>
      </c>
      <c r="N15" s="40">
        <f t="shared" si="4"/>
        <v>316.73092242536501</v>
      </c>
      <c r="O15" s="40">
        <f t="shared" si="4"/>
        <v>304.37172118761333</v>
      </c>
      <c r="P15" s="40">
        <f t="shared" si="4"/>
        <v>235.96871137337465</v>
      </c>
      <c r="Q15" s="40">
        <f t="shared" si="4"/>
        <v>228.76501712423863</v>
      </c>
      <c r="R15" s="41">
        <f t="shared" si="4"/>
        <v>274.18453598838704</v>
      </c>
    </row>
    <row r="16" spans="1:20" ht="17" thickBot="1" x14ac:dyDescent="0.4">
      <c r="A16" s="134"/>
      <c r="B16" s="8" t="s">
        <v>40</v>
      </c>
      <c r="C16" s="36">
        <f>IFERROR(C12*365/C13,"N/A")</f>
        <v>1.7947326054405197</v>
      </c>
      <c r="D16" s="91">
        <f t="shared" ref="D16:R16" si="5">IFERROR(D12*365/D13,"N/A")</f>
        <v>1.7766432054405195</v>
      </c>
      <c r="E16" s="37">
        <f t="shared" si="5"/>
        <v>1.7832609863794682</v>
      </c>
      <c r="F16" s="37">
        <f t="shared" si="5"/>
        <v>1.836203233891061</v>
      </c>
      <c r="G16" s="37">
        <f t="shared" si="5"/>
        <v>1.8031143291963161</v>
      </c>
      <c r="H16" s="37">
        <f t="shared" si="5"/>
        <v>1.5939972441267602</v>
      </c>
      <c r="I16" s="37">
        <f t="shared" si="5"/>
        <v>1.744373036470122</v>
      </c>
      <c r="J16" s="37">
        <f t="shared" si="5"/>
        <v>1.8061568901876419</v>
      </c>
      <c r="K16" s="37">
        <f t="shared" si="5"/>
        <v>1.7719339861079715</v>
      </c>
      <c r="L16" s="37">
        <f t="shared" si="5"/>
        <v>1.7517732758162916</v>
      </c>
      <c r="M16" s="37">
        <f t="shared" si="5"/>
        <v>1.4919648520360442</v>
      </c>
      <c r="N16" s="37">
        <f t="shared" si="5"/>
        <v>1.1523977425538843</v>
      </c>
      <c r="O16" s="37">
        <f t="shared" si="5"/>
        <v>1.1991915627898155</v>
      </c>
      <c r="P16" s="37">
        <f t="shared" si="5"/>
        <v>1.5468152445959602</v>
      </c>
      <c r="Q16" s="37">
        <f t="shared" si="5"/>
        <v>1.5955236713565097</v>
      </c>
      <c r="R16" s="38">
        <f t="shared" si="5"/>
        <v>1.331220226130694</v>
      </c>
    </row>
    <row r="17" spans="1:18" ht="15" thickBot="1" x14ac:dyDescent="0.4"/>
    <row r="18" spans="1:18" ht="15" thickBot="1" x14ac:dyDescent="0.4">
      <c r="A18" s="132" t="s">
        <v>18</v>
      </c>
      <c r="B18" s="108" t="s">
        <v>33</v>
      </c>
      <c r="C18" s="60">
        <f>1-2/$L$5</f>
        <v>8.1019507333048524E-2</v>
      </c>
      <c r="D18" s="92"/>
    </row>
    <row r="19" spans="1:18" ht="15.75" customHeight="1" thickBot="1" x14ac:dyDescent="0.4">
      <c r="A19" s="133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35">
      <c r="A20" s="133"/>
      <c r="B20" s="42" t="s">
        <v>35</v>
      </c>
      <c r="C20" s="43">
        <f t="shared" ref="C20:R20" si="7">C$8*(1-$C$18)</f>
        <v>2.5326163323859792</v>
      </c>
      <c r="D20" s="93">
        <f t="shared" si="7"/>
        <v>2.5326163323859792</v>
      </c>
      <c r="E20" s="44">
        <f t="shared" si="7"/>
        <v>2.5409473071635644</v>
      </c>
      <c r="F20" s="44">
        <f t="shared" si="7"/>
        <v>2.6075951053842479</v>
      </c>
      <c r="G20" s="44">
        <f t="shared" si="7"/>
        <v>2.5659402314963211</v>
      </c>
      <c r="H20" s="44">
        <f t="shared" si="7"/>
        <v>2.1660534421722191</v>
      </c>
      <c r="I20" s="44">
        <f t="shared" si="7"/>
        <v>3.0824606677066191</v>
      </c>
      <c r="J20" s="44">
        <f t="shared" si="7"/>
        <v>4.4570715060082193</v>
      </c>
      <c r="K20" s="44">
        <f t="shared" si="7"/>
        <v>4.5570432033392452</v>
      </c>
      <c r="L20" s="44">
        <f t="shared" si="7"/>
        <v>3.9155581454651651</v>
      </c>
      <c r="M20" s="44">
        <f t="shared" si="7"/>
        <v>5.2818380089891797</v>
      </c>
      <c r="N20" s="44">
        <f t="shared" si="7"/>
        <v>5.365147756765035</v>
      </c>
      <c r="O20" s="44">
        <f t="shared" si="7"/>
        <v>5.331823857654693</v>
      </c>
      <c r="P20" s="44">
        <f t="shared" si="7"/>
        <v>3.2157562641479864</v>
      </c>
      <c r="Q20" s="44">
        <f t="shared" si="7"/>
        <v>3.9155581454651651</v>
      </c>
      <c r="R20" s="45">
        <f t="shared" si="7"/>
        <v>7.5395321737148393</v>
      </c>
    </row>
    <row r="21" spans="1:18" x14ac:dyDescent="0.35">
      <c r="A21" s="133"/>
      <c r="B21" s="22" t="s">
        <v>17</v>
      </c>
      <c r="C21" s="50">
        <f t="shared" ref="C21:R21" si="8">C20-C$11</f>
        <v>2.2352563323859793</v>
      </c>
      <c r="D21" s="94">
        <f t="shared" si="8"/>
        <v>2.2104763323859791</v>
      </c>
      <c r="E21" s="51">
        <f t="shared" si="8"/>
        <v>2.2188073071635643</v>
      </c>
      <c r="F21" s="51">
        <f t="shared" si="8"/>
        <v>2.2854551053842478</v>
      </c>
      <c r="G21" s="51">
        <f t="shared" si="8"/>
        <v>2.243800231496321</v>
      </c>
      <c r="H21" s="51">
        <f t="shared" si="8"/>
        <v>1.9925934421722191</v>
      </c>
      <c r="I21" s="51">
        <f t="shared" si="8"/>
        <v>2.8346606677066193</v>
      </c>
      <c r="J21" s="51">
        <f t="shared" si="8"/>
        <v>4.0605915060082189</v>
      </c>
      <c r="K21" s="51">
        <f t="shared" si="8"/>
        <v>4.2101232033392453</v>
      </c>
      <c r="L21" s="51">
        <f t="shared" si="8"/>
        <v>3.4942981454651649</v>
      </c>
      <c r="M21" s="51">
        <f t="shared" si="8"/>
        <v>4.8481880089891796</v>
      </c>
      <c r="N21" s="51">
        <f t="shared" si="8"/>
        <v>4.8943277567650352</v>
      </c>
      <c r="O21" s="51">
        <f t="shared" si="8"/>
        <v>4.7866638576546929</v>
      </c>
      <c r="P21" s="51">
        <f t="shared" si="8"/>
        <v>2.6829862641479867</v>
      </c>
      <c r="Q21" s="51">
        <f t="shared" si="8"/>
        <v>3.370398145465165</v>
      </c>
      <c r="R21" s="52">
        <f t="shared" si="8"/>
        <v>6.9943721737148392</v>
      </c>
    </row>
    <row r="22" spans="1:18" x14ac:dyDescent="0.35">
      <c r="A22" s="133"/>
      <c r="B22" s="46" t="s">
        <v>15</v>
      </c>
      <c r="C22" s="47">
        <f t="shared" ref="C22:R22" si="9">IF(C21&gt;0,C$13/C21,"N/A")</f>
        <v>223.68799173304885</v>
      </c>
      <c r="D22" s="95">
        <f t="shared" si="9"/>
        <v>226.1955908210526</v>
      </c>
      <c r="E22" s="48">
        <f t="shared" si="9"/>
        <v>225.34629230114635</v>
      </c>
      <c r="F22" s="48">
        <f t="shared" si="9"/>
        <v>218.77480718044393</v>
      </c>
      <c r="G22" s="48">
        <f t="shared" si="9"/>
        <v>222.83623692585388</v>
      </c>
      <c r="H22" s="48">
        <f t="shared" si="9"/>
        <v>250.92926104129234</v>
      </c>
      <c r="I22" s="48">
        <f t="shared" si="9"/>
        <v>229.30434228160445</v>
      </c>
      <c r="J22" s="48">
        <f t="shared" si="9"/>
        <v>221.64258548744016</v>
      </c>
      <c r="K22" s="48">
        <f t="shared" si="9"/>
        <v>225.6466032268392</v>
      </c>
      <c r="L22" s="48">
        <f t="shared" si="9"/>
        <v>228.94440219367803</v>
      </c>
      <c r="M22" s="48">
        <f t="shared" si="9"/>
        <v>268.14141646108374</v>
      </c>
      <c r="N22" s="48">
        <f t="shared" si="9"/>
        <v>347.34085751617818</v>
      </c>
      <c r="O22" s="48">
        <f t="shared" si="9"/>
        <v>334.26203459875853</v>
      </c>
      <c r="P22" s="48">
        <f t="shared" si="9"/>
        <v>260.9033111178797</v>
      </c>
      <c r="Q22" s="48">
        <f t="shared" si="9"/>
        <v>252.19572386237692</v>
      </c>
      <c r="R22" s="49">
        <f t="shared" si="9"/>
        <v>300.24138662393364</v>
      </c>
    </row>
    <row r="23" spans="1:18" ht="15" thickBot="1" x14ac:dyDescent="0.4">
      <c r="A23" s="134"/>
      <c r="B23" s="53" t="s">
        <v>16</v>
      </c>
      <c r="C23" s="54">
        <f>IFERROR(C21*365/C$13,"N/A")</f>
        <v>1.631737122641765</v>
      </c>
      <c r="D23" s="96">
        <f t="shared" ref="D23:R23" si="10">IFERROR(D21*365/D$13,"N/A")</f>
        <v>1.6136477226417647</v>
      </c>
      <c r="E23" s="55">
        <f t="shared" si="10"/>
        <v>1.6197293342294019</v>
      </c>
      <c r="F23" s="55">
        <f t="shared" si="10"/>
        <v>1.6683822269305009</v>
      </c>
      <c r="G23" s="55">
        <f t="shared" si="10"/>
        <v>1.6379741689923144</v>
      </c>
      <c r="H23" s="55">
        <f t="shared" si="10"/>
        <v>1.45459321278572</v>
      </c>
      <c r="I23" s="55">
        <f t="shared" si="10"/>
        <v>1.5917709903275632</v>
      </c>
      <c r="J23" s="55">
        <f t="shared" si="10"/>
        <v>1.6467954441033332</v>
      </c>
      <c r="K23" s="55">
        <f t="shared" si="10"/>
        <v>1.6175736518092889</v>
      </c>
      <c r="L23" s="55">
        <f t="shared" si="10"/>
        <v>1.5942735288684815</v>
      </c>
      <c r="M23" s="55">
        <f t="shared" si="10"/>
        <v>1.3612220179085004</v>
      </c>
      <c r="N23" s="55">
        <f t="shared" si="10"/>
        <v>1.0508409595407282</v>
      </c>
      <c r="O23" s="55">
        <f t="shared" si="10"/>
        <v>1.0919576925274768</v>
      </c>
      <c r="P23" s="55">
        <f t="shared" si="10"/>
        <v>1.3989856948771646</v>
      </c>
      <c r="Q23" s="55">
        <f t="shared" si="10"/>
        <v>1.4472886154056297</v>
      </c>
      <c r="R23" s="56">
        <f t="shared" si="10"/>
        <v>1.2156884968599599</v>
      </c>
    </row>
    <row r="24" spans="1:18" ht="15" thickBot="1" x14ac:dyDescent="0.4"/>
    <row r="25" spans="1:18" ht="15" thickBot="1" x14ac:dyDescent="0.4">
      <c r="A25" s="132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4">
      <c r="A26" s="133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35">
      <c r="A27" s="133"/>
      <c r="B27" s="42" t="s">
        <v>35</v>
      </c>
      <c r="C27" s="43">
        <f t="shared" ref="C27:R27" si="12">C$8*(1-$C$25)</f>
        <v>0.16280392790090506</v>
      </c>
      <c r="D27" s="93">
        <f t="shared" si="12"/>
        <v>0.16280392790090506</v>
      </c>
      <c r="E27" s="44">
        <f t="shared" si="12"/>
        <v>0.16333946713742117</v>
      </c>
      <c r="F27" s="44">
        <f t="shared" si="12"/>
        <v>0.16762378102955028</v>
      </c>
      <c r="G27" s="44">
        <f t="shared" si="12"/>
        <v>0.1649460848469696</v>
      </c>
      <c r="H27" s="44">
        <f t="shared" si="12"/>
        <v>0.13924020149419514</v>
      </c>
      <c r="I27" s="44">
        <f t="shared" si="12"/>
        <v>0.19814951751096999</v>
      </c>
      <c r="J27" s="44">
        <f t="shared" si="12"/>
        <v>0.2865134915361322</v>
      </c>
      <c r="K27" s="44">
        <f t="shared" si="12"/>
        <v>0.2929399623743259</v>
      </c>
      <c r="L27" s="44">
        <f t="shared" si="12"/>
        <v>0.25170344116258347</v>
      </c>
      <c r="M27" s="44">
        <f t="shared" si="12"/>
        <v>0.33953187595122963</v>
      </c>
      <c r="N27" s="44">
        <f t="shared" si="12"/>
        <v>0.34488726831639099</v>
      </c>
      <c r="O27" s="44">
        <f t="shared" si="12"/>
        <v>0.34274511137032643</v>
      </c>
      <c r="P27" s="44">
        <f t="shared" si="12"/>
        <v>0.20671814529522814</v>
      </c>
      <c r="Q27" s="44">
        <f t="shared" si="12"/>
        <v>0.25170344116258347</v>
      </c>
      <c r="R27" s="45">
        <f t="shared" si="12"/>
        <v>0.48466300904710224</v>
      </c>
    </row>
    <row r="28" spans="1:18" x14ac:dyDescent="0.35">
      <c r="A28" s="133"/>
      <c r="B28" s="22" t="s">
        <v>17</v>
      </c>
      <c r="C28" s="50">
        <f t="shared" ref="C28:R28" si="13">C27-C$11</f>
        <v>-0.1345560720990949</v>
      </c>
      <c r="D28" s="94">
        <f t="shared" si="13"/>
        <v>-0.15933607209909492</v>
      </c>
      <c r="E28" s="51">
        <f t="shared" si="13"/>
        <v>-0.15880053286257881</v>
      </c>
      <c r="F28" s="51">
        <f t="shared" si="13"/>
        <v>-0.1545162189704497</v>
      </c>
      <c r="G28" s="51">
        <f t="shared" si="13"/>
        <v>-0.15719391515303038</v>
      </c>
      <c r="H28" s="51">
        <f t="shared" si="13"/>
        <v>-3.4219798505804838E-2</v>
      </c>
      <c r="I28" s="51">
        <f t="shared" si="13"/>
        <v>-4.9650482489029979E-2</v>
      </c>
      <c r="J28" s="51">
        <f t="shared" si="13"/>
        <v>-0.10996650846386774</v>
      </c>
      <c r="K28" s="51">
        <f t="shared" si="13"/>
        <v>-5.3980037625674049E-2</v>
      </c>
      <c r="L28" s="51">
        <f t="shared" si="13"/>
        <v>-0.16955655883741649</v>
      </c>
      <c r="M28" s="51">
        <f t="shared" si="13"/>
        <v>-9.4118124048770402E-2</v>
      </c>
      <c r="N28" s="51">
        <f t="shared" si="13"/>
        <v>-0.12593273168360897</v>
      </c>
      <c r="O28" s="51">
        <f t="shared" si="13"/>
        <v>-0.20241488862967355</v>
      </c>
      <c r="P28" s="51">
        <f t="shared" si="13"/>
        <v>-0.32605185470477183</v>
      </c>
      <c r="Q28" s="51">
        <f t="shared" si="13"/>
        <v>-0.2934565588374165</v>
      </c>
      <c r="R28" s="52">
        <f t="shared" si="13"/>
        <v>-6.0496990952897733E-2</v>
      </c>
    </row>
    <row r="29" spans="1:18" x14ac:dyDescent="0.35">
      <c r="A29" s="133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" thickBot="1" x14ac:dyDescent="0.4">
      <c r="A30" s="134"/>
      <c r="B30" s="53" t="s">
        <v>16</v>
      </c>
      <c r="C30" s="54">
        <f>IFERROR(C28*365/C$13,"N/A")</f>
        <v>-9.822593263233928E-2</v>
      </c>
      <c r="D30" s="96">
        <f t="shared" ref="D30:R30" si="15">IFERROR(D28*365/D$13,"N/A")</f>
        <v>-0.11631533263233929</v>
      </c>
      <c r="E30" s="55">
        <f t="shared" si="15"/>
        <v>-0.11592438898968252</v>
      </c>
      <c r="F30" s="55">
        <f t="shared" si="15"/>
        <v>-0.11279683984842828</v>
      </c>
      <c r="G30" s="55">
        <f t="shared" si="15"/>
        <v>-0.11475155806171218</v>
      </c>
      <c r="H30" s="55">
        <f t="shared" si="15"/>
        <v>-2.4980452909237533E-2</v>
      </c>
      <c r="I30" s="55">
        <f t="shared" si="15"/>
        <v>-2.788065555153222E-2</v>
      </c>
      <c r="J30" s="55">
        <f t="shared" si="15"/>
        <v>-4.4597528432568583E-2</v>
      </c>
      <c r="K30" s="55">
        <f t="shared" si="15"/>
        <v>-2.0739698666706344E-2</v>
      </c>
      <c r="L30" s="55">
        <f t="shared" si="15"/>
        <v>-7.7360179969571286E-2</v>
      </c>
      <c r="M30" s="55">
        <f t="shared" si="15"/>
        <v>-2.6425473290616303E-2</v>
      </c>
      <c r="N30" s="55">
        <f t="shared" si="15"/>
        <v>-2.7038498273245455E-2</v>
      </c>
      <c r="O30" s="55">
        <f t="shared" si="15"/>
        <v>-4.6175896468644277E-2</v>
      </c>
      <c r="P30" s="55">
        <f t="shared" si="15"/>
        <v>-0.17001275281034531</v>
      </c>
      <c r="Q30" s="55">
        <f t="shared" si="15"/>
        <v>-0.12601369879489061</v>
      </c>
      <c r="R30" s="56">
        <f t="shared" si="15"/>
        <v>-1.0514953189432226E-2</v>
      </c>
    </row>
    <row r="31" spans="1:18" ht="15" thickBot="1" x14ac:dyDescent="0.4"/>
    <row r="32" spans="1:18" ht="15" thickBot="1" x14ac:dyDescent="0.4">
      <c r="A32" s="132" t="s">
        <v>77</v>
      </c>
      <c r="B32" s="108" t="s">
        <v>33</v>
      </c>
      <c r="C32" s="60">
        <f>1-485/1405</f>
        <v>0.65480427046263345</v>
      </c>
      <c r="D32" s="92"/>
    </row>
    <row r="33" spans="1:18" ht="15" thickBot="1" x14ac:dyDescent="0.4">
      <c r="A33" s="133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35">
      <c r="A34" s="133"/>
      <c r="B34" s="42" t="s">
        <v>35</v>
      </c>
      <c r="C34" s="43">
        <f t="shared" ref="C34:R34" si="17">C$8*(1-$C$32)</f>
        <v>0.9513241570113119</v>
      </c>
      <c r="D34" s="93">
        <f t="shared" si="17"/>
        <v>0.9513241570113119</v>
      </c>
      <c r="E34" s="44">
        <f t="shared" si="17"/>
        <v>0.95445351279095414</v>
      </c>
      <c r="F34" s="44">
        <f t="shared" si="17"/>
        <v>0.97948835902809406</v>
      </c>
      <c r="G34" s="44">
        <f t="shared" si="17"/>
        <v>0.96384158012988175</v>
      </c>
      <c r="H34" s="44">
        <f t="shared" si="17"/>
        <v>0.81363250270704301</v>
      </c>
      <c r="I34" s="44">
        <f t="shared" si="17"/>
        <v>1.1578616384677152</v>
      </c>
      <c r="J34" s="44">
        <f t="shared" si="17"/>
        <v>1.6742053421087228</v>
      </c>
      <c r="K34" s="44">
        <f t="shared" si="17"/>
        <v>1.7117576114644328</v>
      </c>
      <c r="L34" s="44">
        <f t="shared" si="17"/>
        <v>1.4707972164319625</v>
      </c>
      <c r="M34" s="44">
        <f t="shared" si="17"/>
        <v>1.9840115642933278</v>
      </c>
      <c r="N34" s="44">
        <f t="shared" si="17"/>
        <v>2.0153051220897527</v>
      </c>
      <c r="O34" s="44">
        <f t="shared" si="17"/>
        <v>2.0027876989711828</v>
      </c>
      <c r="P34" s="44">
        <f t="shared" si="17"/>
        <v>1.2079313309419946</v>
      </c>
      <c r="Q34" s="44">
        <f t="shared" si="17"/>
        <v>1.4707972164319625</v>
      </c>
      <c r="R34" s="45">
        <f t="shared" si="17"/>
        <v>2.832066980576438</v>
      </c>
    </row>
    <row r="35" spans="1:18" x14ac:dyDescent="0.35">
      <c r="A35" s="133"/>
      <c r="B35" s="22" t="s">
        <v>17</v>
      </c>
      <c r="C35" s="50">
        <f>C34-C$11</f>
        <v>0.65396415701131194</v>
      </c>
      <c r="D35" s="94">
        <f>D34-D$11</f>
        <v>0.62918415701131192</v>
      </c>
      <c r="E35" s="51">
        <f>E34-E$11</f>
        <v>0.63231351279095416</v>
      </c>
      <c r="F35" s="51">
        <f t="shared" ref="F35:Q35" si="18">F34-F$11</f>
        <v>0.65734835902809408</v>
      </c>
      <c r="G35" s="51">
        <f t="shared" si="18"/>
        <v>0.64170158012988177</v>
      </c>
      <c r="H35" s="51">
        <f t="shared" si="18"/>
        <v>0.64017250270704307</v>
      </c>
      <c r="I35" s="51">
        <f t="shared" si="18"/>
        <v>0.91006163846771515</v>
      </c>
      <c r="J35" s="51">
        <f t="shared" si="18"/>
        <v>1.2777253421087229</v>
      </c>
      <c r="K35" s="51">
        <f t="shared" si="18"/>
        <v>1.3648376114644329</v>
      </c>
      <c r="L35" s="51">
        <f t="shared" si="18"/>
        <v>1.0495372164319625</v>
      </c>
      <c r="M35" s="51">
        <f t="shared" si="18"/>
        <v>1.5503615642933277</v>
      </c>
      <c r="N35" s="51">
        <f t="shared" si="18"/>
        <v>1.5444851220897526</v>
      </c>
      <c r="O35" s="51">
        <f t="shared" si="18"/>
        <v>1.4576276989711827</v>
      </c>
      <c r="P35" s="51">
        <f t="shared" si="18"/>
        <v>0.6751613309419946</v>
      </c>
      <c r="Q35" s="51">
        <f t="shared" si="18"/>
        <v>0.92563721643196251</v>
      </c>
      <c r="R35" s="52">
        <f>R34-R$11</f>
        <v>2.2869069805764379</v>
      </c>
    </row>
    <row r="36" spans="1:18" x14ac:dyDescent="0.35">
      <c r="A36" s="133"/>
      <c r="B36" s="46" t="s">
        <v>15</v>
      </c>
      <c r="C36" s="47">
        <f>IF(C35&gt;0,C$13/C35,"N/A")</f>
        <v>764.56789663374661</v>
      </c>
      <c r="D36" s="95">
        <f>IF(D35&gt;0,D$13/D35,"N/A")</f>
        <v>794.67989527112434</v>
      </c>
      <c r="E36" s="48">
        <f>IF(E35&gt;0,E$13/E35,"N/A")</f>
        <v>790.74697896785631</v>
      </c>
      <c r="F36" s="48">
        <f t="shared" ref="F36:Q36" si="19">IF(F35&gt;0,F$13/F35,"N/A")</f>
        <v>760.63170027420847</v>
      </c>
      <c r="G36" s="48">
        <f t="shared" si="19"/>
        <v>779.17838366363219</v>
      </c>
      <c r="H36" s="48">
        <f t="shared" si="19"/>
        <v>781.03948214847162</v>
      </c>
      <c r="I36" s="48">
        <f t="shared" si="19"/>
        <v>714.23733571982564</v>
      </c>
      <c r="J36" s="48">
        <f t="shared" si="19"/>
        <v>704.37673132057057</v>
      </c>
      <c r="K36" s="48">
        <f t="shared" si="19"/>
        <v>696.05350264393451</v>
      </c>
      <c r="L36" s="48">
        <f t="shared" si="19"/>
        <v>762.24071664624091</v>
      </c>
      <c r="M36" s="48">
        <f t="shared" si="19"/>
        <v>838.51407951573844</v>
      </c>
      <c r="N36" s="48">
        <f t="shared" si="19"/>
        <v>1100.6904344276422</v>
      </c>
      <c r="O36" s="48">
        <f t="shared" si="19"/>
        <v>1097.6739815861799</v>
      </c>
      <c r="P36" s="48">
        <f t="shared" si="19"/>
        <v>1036.7892352829954</v>
      </c>
      <c r="Q36" s="48">
        <f t="shared" si="19"/>
        <v>918.28632741937497</v>
      </c>
      <c r="R36" s="49">
        <f>IF(R35&gt;0,R$13/R35,"N/A")</f>
        <v>918.27084259923583</v>
      </c>
    </row>
    <row r="37" spans="1:18" ht="15" thickBot="1" x14ac:dyDescent="0.4">
      <c r="A37" s="134"/>
      <c r="B37" s="53" t="s">
        <v>16</v>
      </c>
      <c r="C37" s="12">
        <f>IFERROR(C35*365/C$13,"N/A")</f>
        <v>0.47739383461825768</v>
      </c>
      <c r="D37" s="97">
        <f t="shared" ref="D37:R37" si="20">IFERROR(D35*365/D$13,"N/A")</f>
        <v>0.45930443461825771</v>
      </c>
      <c r="E37" s="13">
        <f t="shared" si="20"/>
        <v>0.46158886433739654</v>
      </c>
      <c r="F37" s="13">
        <f t="shared" si="20"/>
        <v>0.47986430209050868</v>
      </c>
      <c r="G37" s="13">
        <f t="shared" si="20"/>
        <v>0.46844215349481366</v>
      </c>
      <c r="H37" s="13">
        <f t="shared" si="20"/>
        <v>0.46732592697614145</v>
      </c>
      <c r="I37" s="13">
        <f t="shared" si="20"/>
        <v>0.51103461237033243</v>
      </c>
      <c r="J37" s="13">
        <f t="shared" si="20"/>
        <v>0.51818861096631541</v>
      </c>
      <c r="K37" s="13">
        <f t="shared" si="20"/>
        <v>0.52438497703633469</v>
      </c>
      <c r="L37" s="13">
        <f t="shared" si="20"/>
        <v>0.47885135499708292</v>
      </c>
      <c r="M37" s="13">
        <f t="shared" si="20"/>
        <v>0.43529382382081894</v>
      </c>
      <c r="N37" s="13">
        <f t="shared" si="20"/>
        <v>0.33161004091927043</v>
      </c>
      <c r="O37" s="13">
        <f t="shared" si="20"/>
        <v>0.33252131882780106</v>
      </c>
      <c r="P37" s="13">
        <f t="shared" si="20"/>
        <v>0.35204840827689721</v>
      </c>
      <c r="Q37" s="13">
        <f t="shared" si="20"/>
        <v>0.3974795105854898</v>
      </c>
      <c r="R37" s="14">
        <f t="shared" si="20"/>
        <v>0.39748621329066663</v>
      </c>
    </row>
    <row r="38" spans="1:18" x14ac:dyDescent="0.3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4.5" zeroHeight="1" x14ac:dyDescent="0.35"/>
  <cols>
    <col min="1" max="1" width="10.81640625" bestFit="1" customWidth="1"/>
    <col min="2" max="2" width="8.54296875" customWidth="1"/>
    <col min="3" max="4" width="10" customWidth="1"/>
    <col min="5" max="5" width="8.453125" customWidth="1"/>
    <col min="6" max="6" width="8.1796875" bestFit="1" customWidth="1"/>
    <col min="7" max="7" width="9.1796875" customWidth="1"/>
    <col min="8" max="16384" width="9.1796875" hidden="1"/>
  </cols>
  <sheetData>
    <row r="1" spans="1:6" ht="30.75" customHeight="1" thickBot="1" x14ac:dyDescent="0.4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3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3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" thickBot="1" x14ac:dyDescent="0.4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" thickBot="1" x14ac:dyDescent="0.4">
      <c r="E5" s="73" t="s">
        <v>9</v>
      </c>
      <c r="F5" s="74">
        <f>SUMPRODUCT(F2:F4,B2:B4)</f>
        <v>10.324999999999999</v>
      </c>
    </row>
    <row r="6" spans="1:6" x14ac:dyDescent="0.35"/>
    <row r="7" spans="1:6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165100</xdr:rowOff>
                  </from>
                  <to>
                    <xdr:col>0</xdr:col>
                    <xdr:colOff>717550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6"/>
  <sheetViews>
    <sheetView workbookViewId="0">
      <selection activeCell="D14" sqref="D14"/>
    </sheetView>
  </sheetViews>
  <sheetFormatPr defaultColWidth="0" defaultRowHeight="14.5" zeroHeight="1" x14ac:dyDescent="0.35"/>
  <cols>
    <col min="1" max="1" width="10" style="6" bestFit="1" customWidth="1"/>
    <col min="2" max="2" width="43.7265625" style="6" bestFit="1" customWidth="1"/>
    <col min="3" max="3" width="10.54296875" style="6" bestFit="1" customWidth="1"/>
    <col min="4" max="4" width="9.1796875" style="6" customWidth="1"/>
    <col min="5" max="5" width="13.54296875" style="6" bestFit="1" customWidth="1"/>
    <col min="6" max="6" width="10.54296875" style="6" bestFit="1" customWidth="1"/>
    <col min="7" max="7" width="0" style="6" hidden="1" customWidth="1"/>
    <col min="8" max="23" width="0" hidden="1" customWidth="1"/>
    <col min="24" max="16384" width="9.1796875" style="6" hidden="1"/>
  </cols>
  <sheetData>
    <row r="1" spans="1:6" ht="15" thickBot="1" x14ac:dyDescent="0.4"/>
    <row r="2" spans="1:6" ht="19" thickBot="1" x14ac:dyDescent="0.4">
      <c r="A2" s="156" t="s">
        <v>79</v>
      </c>
      <c r="B2" s="157"/>
      <c r="C2" s="158"/>
      <c r="E2" s="156" t="s">
        <v>80</v>
      </c>
      <c r="F2" s="158"/>
    </row>
    <row r="3" spans="1:6" ht="16" thickBot="1" x14ac:dyDescent="0.4">
      <c r="A3" s="109" t="s">
        <v>21</v>
      </c>
      <c r="B3" s="110" t="s">
        <v>81</v>
      </c>
      <c r="C3" s="111" t="s">
        <v>82</v>
      </c>
      <c r="E3" s="109" t="s">
        <v>21</v>
      </c>
      <c r="F3" s="112" t="s">
        <v>83</v>
      </c>
    </row>
    <row r="4" spans="1:6" x14ac:dyDescent="0.35">
      <c r="A4" s="113">
        <v>43926</v>
      </c>
      <c r="B4" s="114" t="s">
        <v>84</v>
      </c>
      <c r="C4" s="115">
        <v>150.97</v>
      </c>
      <c r="E4" s="113">
        <v>44290</v>
      </c>
      <c r="F4" s="115">
        <v>215.24</v>
      </c>
    </row>
    <row r="5" spans="1:6" x14ac:dyDescent="0.35">
      <c r="A5" s="116">
        <v>44262</v>
      </c>
      <c r="B5" s="117" t="s">
        <v>85</v>
      </c>
      <c r="C5" s="118">
        <v>19.86</v>
      </c>
      <c r="E5" s="116">
        <v>44310</v>
      </c>
      <c r="F5" s="118">
        <v>246.25</v>
      </c>
    </row>
    <row r="6" spans="1:6" x14ac:dyDescent="0.35">
      <c r="A6" s="116">
        <v>44263</v>
      </c>
      <c r="B6" s="117" t="s">
        <v>86</v>
      </c>
      <c r="C6" s="118">
        <v>18.11</v>
      </c>
      <c r="E6" s="116">
        <v>44318</v>
      </c>
      <c r="F6" s="118">
        <v>788.93</v>
      </c>
    </row>
    <row r="7" spans="1:6" x14ac:dyDescent="0.35">
      <c r="A7" s="116">
        <v>44264</v>
      </c>
      <c r="B7" s="117" t="s">
        <v>87</v>
      </c>
      <c r="C7" s="118">
        <v>7.99</v>
      </c>
      <c r="E7" s="116">
        <v>44328</v>
      </c>
      <c r="F7" s="118">
        <v>297</v>
      </c>
    </row>
    <row r="8" spans="1:6" x14ac:dyDescent="0.35">
      <c r="A8" s="116">
        <v>44271</v>
      </c>
      <c r="B8" s="117" t="s">
        <v>88</v>
      </c>
      <c r="C8" s="118">
        <v>16.89</v>
      </c>
      <c r="E8" s="116">
        <v>44328</v>
      </c>
      <c r="F8" s="118">
        <v>742.5</v>
      </c>
    </row>
    <row r="9" spans="1:6" x14ac:dyDescent="0.35">
      <c r="A9" s="116">
        <v>44271</v>
      </c>
      <c r="B9" s="117" t="s">
        <v>89</v>
      </c>
      <c r="C9" s="118">
        <v>60.07</v>
      </c>
      <c r="E9" s="116">
        <v>44333</v>
      </c>
      <c r="F9" s="118">
        <v>367.54</v>
      </c>
    </row>
    <row r="10" spans="1:6" x14ac:dyDescent="0.35">
      <c r="A10" s="116">
        <v>44272</v>
      </c>
      <c r="B10" s="117" t="s">
        <v>90</v>
      </c>
      <c r="C10" s="118">
        <v>889.1</v>
      </c>
      <c r="E10" s="116">
        <v>44339</v>
      </c>
      <c r="F10" s="118">
        <v>290.45</v>
      </c>
    </row>
    <row r="11" spans="1:6" x14ac:dyDescent="0.35">
      <c r="A11" s="116">
        <v>44275</v>
      </c>
      <c r="B11" s="117" t="s">
        <v>87</v>
      </c>
      <c r="C11" s="118">
        <v>15.98</v>
      </c>
      <c r="E11" s="116">
        <v>44358</v>
      </c>
      <c r="F11" s="118">
        <v>305.98</v>
      </c>
    </row>
    <row r="12" spans="1:6" x14ac:dyDescent="0.35">
      <c r="A12" s="116">
        <v>44324</v>
      </c>
      <c r="B12" s="117" t="s">
        <v>91</v>
      </c>
      <c r="C12" s="118">
        <v>50</v>
      </c>
      <c r="E12" s="116">
        <v>44371</v>
      </c>
      <c r="F12" s="118">
        <v>726.08</v>
      </c>
    </row>
    <row r="13" spans="1:6" x14ac:dyDescent="0.35">
      <c r="A13" s="116">
        <v>44320</v>
      </c>
      <c r="B13" s="117" t="s">
        <v>92</v>
      </c>
      <c r="C13" s="118">
        <v>1034.99</v>
      </c>
      <c r="E13" s="116">
        <v>44381</v>
      </c>
      <c r="F13" s="118">
        <v>305.35000000000002</v>
      </c>
    </row>
    <row r="14" spans="1:6" x14ac:dyDescent="0.35">
      <c r="A14" s="116">
        <v>44320</v>
      </c>
      <c r="B14" s="117" t="s">
        <v>93</v>
      </c>
      <c r="C14" s="118">
        <v>927.88</v>
      </c>
      <c r="E14" s="116">
        <v>44405</v>
      </c>
      <c r="F14" s="118">
        <v>352.14</v>
      </c>
    </row>
    <row r="15" spans="1:6" x14ac:dyDescent="0.35">
      <c r="A15" s="116">
        <v>44332</v>
      </c>
      <c r="B15" s="117" t="s">
        <v>94</v>
      </c>
      <c r="C15" s="118">
        <v>80</v>
      </c>
      <c r="E15" s="116">
        <v>44413</v>
      </c>
      <c r="F15" s="118">
        <v>297</v>
      </c>
    </row>
    <row r="16" spans="1:6" x14ac:dyDescent="0.35">
      <c r="A16" s="116">
        <v>44349</v>
      </c>
      <c r="B16" s="119" t="s">
        <v>95</v>
      </c>
      <c r="C16" s="118">
        <v>56.49</v>
      </c>
      <c r="E16" s="116">
        <v>44418</v>
      </c>
      <c r="F16" s="118">
        <v>311.55</v>
      </c>
    </row>
    <row r="17" spans="1:23" x14ac:dyDescent="0.35">
      <c r="A17" s="116">
        <v>44367</v>
      </c>
      <c r="B17" s="119" t="s">
        <v>96</v>
      </c>
      <c r="C17" s="118">
        <v>50</v>
      </c>
      <c r="E17" s="116">
        <v>44429</v>
      </c>
      <c r="F17" s="118">
        <v>308.89</v>
      </c>
    </row>
    <row r="18" spans="1:23" x14ac:dyDescent="0.35">
      <c r="A18" s="116">
        <v>44362</v>
      </c>
      <c r="B18" s="119" t="s">
        <v>97</v>
      </c>
      <c r="C18" s="118">
        <v>2.48</v>
      </c>
      <c r="E18" s="116">
        <v>44446</v>
      </c>
      <c r="F18" s="118">
        <v>353.19</v>
      </c>
    </row>
    <row r="19" spans="1:23" x14ac:dyDescent="0.35">
      <c r="A19" s="116">
        <v>44366</v>
      </c>
      <c r="B19" s="119" t="s">
        <v>98</v>
      </c>
      <c r="C19" s="118">
        <v>1850</v>
      </c>
      <c r="E19" s="116">
        <v>44454</v>
      </c>
      <c r="F19" s="118">
        <v>297.85000000000002</v>
      </c>
    </row>
    <row r="20" spans="1:23" x14ac:dyDescent="0.35">
      <c r="A20" s="116">
        <v>44368</v>
      </c>
      <c r="B20" s="119" t="s">
        <v>99</v>
      </c>
      <c r="C20" s="118">
        <v>20.95</v>
      </c>
      <c r="E20" s="116">
        <v>44466</v>
      </c>
      <c r="F20" s="118">
        <v>320.64</v>
      </c>
    </row>
    <row r="21" spans="1:23" x14ac:dyDescent="0.35">
      <c r="A21" s="116">
        <v>44368</v>
      </c>
      <c r="B21" s="119" t="s">
        <v>100</v>
      </c>
      <c r="C21" s="118">
        <v>22.95</v>
      </c>
      <c r="E21" s="116">
        <v>44477</v>
      </c>
      <c r="F21" s="118">
        <v>334.07</v>
      </c>
    </row>
    <row r="22" spans="1:23" x14ac:dyDescent="0.35">
      <c r="A22" s="116">
        <v>44368</v>
      </c>
      <c r="B22" s="119" t="s">
        <v>101</v>
      </c>
      <c r="C22" s="118">
        <v>20.25</v>
      </c>
      <c r="E22" s="116"/>
      <c r="F22" s="118"/>
    </row>
    <row r="23" spans="1:23" x14ac:dyDescent="0.35">
      <c r="A23" s="116">
        <v>44372</v>
      </c>
      <c r="B23" s="117" t="s">
        <v>87</v>
      </c>
      <c r="C23" s="118">
        <v>9.99</v>
      </c>
      <c r="E23" s="116"/>
      <c r="F23" s="118"/>
    </row>
    <row r="24" spans="1:23" x14ac:dyDescent="0.35">
      <c r="A24" s="116">
        <v>44392</v>
      </c>
      <c r="B24" s="117" t="s">
        <v>109</v>
      </c>
      <c r="C24" s="118">
        <v>50</v>
      </c>
      <c r="D24" s="117"/>
      <c r="E24" s="116"/>
      <c r="F24" s="118"/>
    </row>
    <row r="25" spans="1:23" x14ac:dyDescent="0.35">
      <c r="A25" s="116">
        <v>44423</v>
      </c>
      <c r="B25" s="117" t="s">
        <v>108</v>
      </c>
      <c r="C25" s="118">
        <v>50</v>
      </c>
      <c r="D25" s="117"/>
      <c r="E25" s="116"/>
      <c r="F25" s="118"/>
    </row>
    <row r="26" spans="1:23" x14ac:dyDescent="0.35">
      <c r="A26" s="116">
        <v>44433</v>
      </c>
      <c r="B26" s="117" t="s">
        <v>115</v>
      </c>
      <c r="C26" s="118">
        <v>553.92999999999995</v>
      </c>
      <c r="D26" s="117"/>
      <c r="E26" s="116"/>
      <c r="F26" s="118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5">
      <c r="A27" s="116">
        <v>44433</v>
      </c>
      <c r="B27" s="117" t="s">
        <v>116</v>
      </c>
      <c r="C27" s="118">
        <v>98.27</v>
      </c>
      <c r="D27" s="117"/>
      <c r="E27" s="116"/>
      <c r="F27" s="118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5">
      <c r="A28" s="116">
        <v>44434</v>
      </c>
      <c r="B28" s="117" t="s">
        <v>117</v>
      </c>
      <c r="C28" s="118">
        <v>950</v>
      </c>
      <c r="D28" s="117"/>
      <c r="E28" s="116"/>
      <c r="F28" s="118"/>
    </row>
    <row r="29" spans="1:23" x14ac:dyDescent="0.35">
      <c r="A29" s="116">
        <v>44438</v>
      </c>
      <c r="B29" s="117" t="s">
        <v>118</v>
      </c>
      <c r="C29" s="118">
        <v>25.93</v>
      </c>
      <c r="D29" s="117"/>
      <c r="E29" s="116"/>
      <c r="F29" s="118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35">
      <c r="A30" s="116">
        <v>44443</v>
      </c>
      <c r="B30" s="117" t="s">
        <v>118</v>
      </c>
      <c r="C30" s="118">
        <v>40.67</v>
      </c>
      <c r="D30" s="117"/>
      <c r="E30" s="116"/>
      <c r="F30" s="118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35">
      <c r="A31" s="116">
        <v>44454</v>
      </c>
      <c r="B31" s="117" t="s">
        <v>119</v>
      </c>
      <c r="C31" s="118">
        <v>95</v>
      </c>
      <c r="D31" s="117"/>
      <c r="E31" s="116"/>
      <c r="F31" s="118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ht="15" thickBot="1" x14ac:dyDescent="0.4">
      <c r="A32" s="116"/>
      <c r="B32" s="117"/>
      <c r="C32" s="118"/>
      <c r="D32" s="117"/>
      <c r="E32" s="116"/>
      <c r="F32" s="11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ht="15" thickBot="1" x14ac:dyDescent="0.4">
      <c r="A33" s="161" t="s">
        <v>120</v>
      </c>
      <c r="B33" s="162"/>
      <c r="C33" s="165">
        <f>SUM(C4:C32)</f>
        <v>7168.75</v>
      </c>
      <c r="E33" s="159" t="s">
        <v>121</v>
      </c>
      <c r="F33" s="160">
        <f>SUM(F4:F32)</f>
        <v>6860.6500000000005</v>
      </c>
    </row>
    <row r="34" spans="1:6" ht="15" thickBot="1" x14ac:dyDescent="0.4">
      <c r="A34" s="163" t="s">
        <v>107</v>
      </c>
      <c r="B34" s="164"/>
      <c r="C34" s="166">
        <f>C33-F33</f>
        <v>308.09999999999945</v>
      </c>
    </row>
    <row r="35" spans="1:6" x14ac:dyDescent="0.35"/>
    <row r="36" spans="1:6" x14ac:dyDescent="0.35"/>
    <row r="37" spans="1:6" x14ac:dyDescent="0.35"/>
    <row r="38" spans="1:6" x14ac:dyDescent="0.35"/>
    <row r="39" spans="1:6" x14ac:dyDescent="0.35"/>
    <row r="40" spans="1:6" x14ac:dyDescent="0.35"/>
    <row r="41" spans="1:6" x14ac:dyDescent="0.35"/>
    <row r="42" spans="1:6" x14ac:dyDescent="0.35"/>
    <row r="43" spans="1:6" x14ac:dyDescent="0.35"/>
    <row r="44" spans="1:6" x14ac:dyDescent="0.35"/>
    <row r="45" spans="1:6" x14ac:dyDescent="0.35"/>
    <row r="46" spans="1:6" x14ac:dyDescent="0.35"/>
  </sheetData>
  <mergeCells count="4">
    <mergeCell ref="A2:C2"/>
    <mergeCell ref="E2:F2"/>
    <mergeCell ref="A33:B33"/>
    <mergeCell ref="A34:B3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4.5" x14ac:dyDescent="0.35"/>
  <cols>
    <col min="1" max="1" width="11.1796875" bestFit="1" customWidth="1"/>
    <col min="2" max="2" width="11.81640625" bestFit="1" customWidth="1"/>
    <col min="3" max="3" width="20.26953125" bestFit="1" customWidth="1"/>
    <col min="4" max="4" width="17.26953125" bestFit="1" customWidth="1"/>
    <col min="5" max="5" width="16.453125" bestFit="1" customWidth="1"/>
    <col min="6" max="6" width="16" bestFit="1" customWidth="1"/>
    <col min="8" max="8" width="18.7265625" bestFit="1" customWidth="1"/>
    <col min="9" max="9" width="12.26953125" bestFit="1" customWidth="1"/>
    <col min="10" max="11" width="10.7265625" bestFit="1" customWidth="1"/>
  </cols>
  <sheetData>
    <row r="1" spans="1:10" x14ac:dyDescent="0.3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3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3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3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3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3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3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3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3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3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3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3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3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3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3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3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3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3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3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3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3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3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3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3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3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3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3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3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3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3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3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3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3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3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3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3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3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3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3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3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3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3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3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3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3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3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3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3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3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3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3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3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3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3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3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3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3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3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3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3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3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3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3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3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3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3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3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3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3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3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3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3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3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3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3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3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3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3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3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3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3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3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3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3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3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3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3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3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3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3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3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3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3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3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3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3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3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3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3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3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3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3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3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3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3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3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3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3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3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3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3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3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3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3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3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3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3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3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3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3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3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3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3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3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3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3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3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3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3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3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3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3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3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3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3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3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3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3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3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3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3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3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3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3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3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3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3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3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3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3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3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3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3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3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3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3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3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3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3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3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3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3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3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3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3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3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3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3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3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3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3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3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3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3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3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3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3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3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3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3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3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3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3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3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3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3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3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3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3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3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3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3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3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3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3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3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3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3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3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3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3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3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3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3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3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3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3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3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3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3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3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3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3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3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3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3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3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3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3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3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3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3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3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3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3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3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3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3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3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3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3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3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3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3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3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3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3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3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3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3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3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3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3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3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3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3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3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3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3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3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3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3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3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3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3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3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3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3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3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3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3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3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3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3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3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3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3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3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3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3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3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3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3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3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3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3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3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3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3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3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3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3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3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3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3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3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3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3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3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3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3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3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3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3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3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3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3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3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3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3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3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3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3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3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3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3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3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3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3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3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3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3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3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3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3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3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3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3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3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3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3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3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3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3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3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3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3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3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3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3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3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3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3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3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3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3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3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3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3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3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3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3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3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3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3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3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3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3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3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3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3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3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3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3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3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3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3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3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3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3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3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3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3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3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3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3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3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3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3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3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3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3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3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3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3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3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3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3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3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3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3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3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3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3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3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3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3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3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3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3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3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3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3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3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3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3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3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3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3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3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3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3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3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3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3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3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3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3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3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3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3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3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3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3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3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3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3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3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3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3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3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3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3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3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3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3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3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3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3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3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3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3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3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3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3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3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3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3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3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3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3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3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3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3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3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3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3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3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3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3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3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3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3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3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3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3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3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3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3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3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3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3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3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3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3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3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3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3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3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3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3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3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3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3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3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3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3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3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3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3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3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3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3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3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3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3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3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3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3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3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3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3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3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3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3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3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3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3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3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3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3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3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3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3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3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3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3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3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3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3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3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3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3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3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3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3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3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3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3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3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3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3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3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3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3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3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3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3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3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3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3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3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3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3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3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3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3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3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3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3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3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3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3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3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3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3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3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3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3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3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3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3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3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3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3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3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3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3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3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3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3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3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3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3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3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3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3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3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3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3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3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3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3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3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3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3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3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3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3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3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3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3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3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3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3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3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3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3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3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3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3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3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3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3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3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3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3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3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3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3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3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3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3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3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3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3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3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3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3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3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3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3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3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3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3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3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3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3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3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3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3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3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3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3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3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3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3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3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3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3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3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3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3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3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3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3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3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3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3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3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3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3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3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3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3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3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3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3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3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3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3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3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3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3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3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3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3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3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3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3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3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3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3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3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3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3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3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3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3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3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3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3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3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3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3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3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3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3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3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3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3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3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3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3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3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3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3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3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3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3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3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3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3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3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3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3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3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3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3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3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3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3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3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3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3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3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3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3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3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3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3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3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3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3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3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3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3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3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3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3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3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3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3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3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3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3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3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3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3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3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3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3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3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3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3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3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3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3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3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3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3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3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3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3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3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3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3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3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3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3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3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3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3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3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3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3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3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3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3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3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3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3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3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3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3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3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3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3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3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3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3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3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3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3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3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3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3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3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3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3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3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3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3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3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3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3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3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3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3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3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3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3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3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3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3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3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3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3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3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3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3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3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3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3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3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3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3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3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3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3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3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3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3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3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3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3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3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3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3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3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3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3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3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3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3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3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3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3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3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3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3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3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3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3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3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3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3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3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3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3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3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3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3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3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3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3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3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3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3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3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3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3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3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3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3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3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3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3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3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3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3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3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3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3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3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3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3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3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3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3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3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3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3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3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3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3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3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3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3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3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3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3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3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3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3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3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3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3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3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3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3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3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3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3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3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3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3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3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3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3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3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3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3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3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3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3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3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3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3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3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3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3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3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3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3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3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3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3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3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3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3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3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3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3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3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3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3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3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3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3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3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3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3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3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3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3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3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3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3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3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3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3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3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3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3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3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3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3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3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3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3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3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3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3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3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3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3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3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3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3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3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3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3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3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3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3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3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3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3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3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3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3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3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3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3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3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3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3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3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3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3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3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3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3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3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3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3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3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3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3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3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3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3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3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3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3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3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3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3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3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3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3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3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3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3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3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3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3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3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3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3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3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3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3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3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3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3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3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3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3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3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3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3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3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3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3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3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3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3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3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3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3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3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3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3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3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3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3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3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3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3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3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3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3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3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3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3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3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3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3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3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3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3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3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3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3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3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3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3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3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3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3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3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3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3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3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3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3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3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3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3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3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3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3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3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3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3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3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3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3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3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3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3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3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3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3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3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3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3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3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3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3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3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3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3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3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3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3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3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3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3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3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3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3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3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3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3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3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3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3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3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3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3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3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3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3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3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3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3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3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3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3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3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3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3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3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3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3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3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3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3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3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3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3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3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3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3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3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3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3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3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3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3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3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3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3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3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3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3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3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3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3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3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3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3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3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3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3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3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3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3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3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3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3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3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3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3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3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3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3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3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3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3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3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3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3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3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3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3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3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3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3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3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3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3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3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3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3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3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3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3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3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3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3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3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3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3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3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3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3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3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3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3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3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3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3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3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3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3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3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3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3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3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3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3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3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3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3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3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3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3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3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3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3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3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3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3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3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3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3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3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3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3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3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3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3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3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3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3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3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3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3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3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3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3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3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3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3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3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3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3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3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3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3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3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3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3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3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3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3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3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3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3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3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3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3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3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3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3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3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3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3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3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3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3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3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3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3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3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3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3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3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3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3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3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3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3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3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3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3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3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3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3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3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3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3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3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3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3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3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3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3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3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3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3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3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3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3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3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3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3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3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3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3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3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3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3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3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3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3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3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3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3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3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3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3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3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3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3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3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3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3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3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3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3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3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3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3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3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3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3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3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3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3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3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3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3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3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3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3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3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3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3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3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3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3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3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3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3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3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3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3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3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3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3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3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3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3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3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3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3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3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3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3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3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3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3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3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3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3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3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3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3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3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3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3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3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3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3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3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3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3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3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3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3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3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3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3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3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3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3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3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3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3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3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3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3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3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3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3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3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3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3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3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3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3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3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3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3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3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3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3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3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3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3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3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3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3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3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3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3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3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3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3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3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3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3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3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3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3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3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3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3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3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3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3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3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3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3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3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3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3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3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3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3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3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3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3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3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3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3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3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3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3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3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3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3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3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3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3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3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3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3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3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3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3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3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3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3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3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3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3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3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3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3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3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3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3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3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3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3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3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3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3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3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3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3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3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3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3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3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3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3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3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3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3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3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3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3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3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3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3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3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3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3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3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3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3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3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3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3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3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3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3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3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3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3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3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3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3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3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3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3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3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3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3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3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3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3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3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3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3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3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3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3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3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3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3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3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3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3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3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3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3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3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3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3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3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3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3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3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3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3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3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3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3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3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3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3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3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3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3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3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3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3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3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3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3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3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3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3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3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3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3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3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3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3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3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3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3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3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3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3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3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3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3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3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3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3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3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3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3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3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3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3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3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3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3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3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3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3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3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3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3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3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3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3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3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3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3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3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3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3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3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3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3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3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3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3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3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3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3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3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3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3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3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3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3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3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3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3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3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3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3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3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3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3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3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3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3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3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3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3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3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3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3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3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3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3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3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3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3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3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3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3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3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3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3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3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3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3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3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3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3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3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3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3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3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3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3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3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3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3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3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3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3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3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3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3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3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3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3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3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3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3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3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3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3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3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3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3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3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3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3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3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3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3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3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3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3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3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3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3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3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3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3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3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3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3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3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3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3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3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3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3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3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3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3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3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3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3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3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3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3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3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3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3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3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3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3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3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3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3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3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3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3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3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3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3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3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3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3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3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3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3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3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3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3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3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3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3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3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3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3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3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3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3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3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3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3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3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3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3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3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3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3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3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3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3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3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3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3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3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3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3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3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3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3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3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3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3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3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3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3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3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3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3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3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3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3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3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3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3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3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3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3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3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3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3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3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3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3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3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3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3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3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3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3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3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3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3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3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3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3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3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3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3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3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3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3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3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3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3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3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3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3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3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3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3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3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3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3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3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3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3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3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3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3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3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3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3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3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3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3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3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3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3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3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3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3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3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3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3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3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3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3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3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3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3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3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3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3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3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3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3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3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3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3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3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3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3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3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3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3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3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3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3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3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3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3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3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3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3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3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3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3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3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3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3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3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3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3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3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3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3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3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3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3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3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3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3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3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3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3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3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3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3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3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3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3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3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3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3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3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3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3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3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3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3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3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3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3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3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3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3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3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3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3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3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3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3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3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3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3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3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3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3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3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3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3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3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3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3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3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3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3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3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3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3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3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3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3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3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3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3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3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3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3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3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3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3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3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3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3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3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3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3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3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3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3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3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3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3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3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3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3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3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3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3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3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3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3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3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3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3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3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3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3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3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3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3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3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3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3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3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3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3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3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3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3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3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3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3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3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3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3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3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3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3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3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3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3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3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3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3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3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3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3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3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3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3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3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3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3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3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3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3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3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3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3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3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3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3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3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3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3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3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3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3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3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3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3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3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3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3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3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3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3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3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3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3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3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3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3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3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3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3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3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3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3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3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3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3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3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3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3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3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3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3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3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3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3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3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3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3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3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3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3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3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3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3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3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3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3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2021-10-08T18:20:52Z</dcterms:modified>
</cp:coreProperties>
</file>