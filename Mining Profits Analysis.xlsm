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7F0166EE-AE8B-473D-8527-CFB7CF5865F2}" xr6:coauthVersionLast="47" xr6:coauthVersionMax="47" xr10:uidLastSave="{00000000-0000-0000-0000-000000000000}"/>
  <bookViews>
    <workbookView xWindow="25490" yWindow="-2570" windowWidth="38620" windowHeight="21220" activeTab="1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2" i="6" l="1"/>
  <c r="I25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H26" i="9"/>
  <c r="G26" i="9"/>
  <c r="D42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I26" i="9" l="1"/>
  <c r="D43" i="9" s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<sst xmlns="http://schemas.openxmlformats.org/spreadsheetml/2006/main" count="2310" uniqueCount="132">
  <si>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</si>
  <si>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</si>
  <si>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</si>
  <si>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</si>
  <si>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</si>
  <si>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</si>
  <si>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</si>
  <si>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</si>
  <si>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</si>
  <si>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</si>
  <si>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</si>
  <si>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</si>
  <si>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</si>
  <si>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</si>
  <si>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</si>
  <si>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</si>
  <si>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</si>
  <si>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</si>
  <si>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</si>
  <si>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</si>
  <si>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</si>
  <si>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</si>
  <si>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</si>
  <si>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</si>
  <si>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</si>
  <si>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</si>
  <si>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</si>
  <si>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</si>
  <si>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</si>
  <si>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</si>
  <si>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</si>
  <si>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</si>
  <si>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</si>
  <si>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</si>
  <si>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</si>
  <si>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</si>
  <si>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</si>
  <si>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</si>
  <si>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</si>
  <si>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</si>
  <si>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</si>
  <si>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</si>
  <si>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</si>
  <si>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</si>
  <si>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</si>
  <si>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</si>
  <si>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</si>
  <si>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</si>
  <si>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</si>
  <si>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</si>
  <si>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</si>
  <si>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</si>
  <si>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</si>
  <si>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</si>
  <si>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</si>
  <si>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</si>
  <si>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</si>
  <si>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</si>
  <si>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</si>
  <si>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</si>
  <si>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</si>
  <si>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</si>
  <si>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</si>
  <si>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</si>
  <si>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</si>
  <si>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</si>
  <si>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</si>
  <si>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</si>
  <si>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</si>
  <si>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</si>
  <si>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</si>
  <si>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</si>
  <si>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</si>
  <si>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</si>
  <si>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</si>
  <si>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</si>
  <si>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</si>
  <si>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</si>
  <si>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</si>
  <si>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</si>
  <si>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</si>
  <si>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</si>
  <si>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</si>
  <si>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</si>
  <si>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</si>
  <si>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</si>
  <si>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</si>
  <si>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</si>
  <si>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</si>
  <si>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</si>
  <si>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</si>
  <si>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</si>
  <si>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</si>
  <si>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</si>
  <si>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</si>
  <si>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</si>
  <si>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</si>
  <si>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</si>
  <si>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</si>
  <si>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</si>
  <si>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</si>
  <si>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</si>
  <si>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</si>
  <si>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</si>
  <si>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</si>
  <si>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</si>
  <si>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</si>
  <si>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</si>
  <si>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</si>
  <si>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</si>
  <si>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</si>
  <si>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</si>
  <si>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</si>
  <si>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</si>
  <si>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</si>
  <si>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</si>
  <si>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</si>
  <si>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</si>
  <si>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</si>
  <si>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</si>
  <si>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</si>
  <si>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</si>
  <si>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</si>
  <si>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</si>
  <si>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</si>
  <si>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</si>
  <si>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</si>
  <si>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</si>
  <si>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</si>
  <si>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</si>
  <si>
    <t>Electricity for Mar 16-Apr 16</t>
  </si>
  <si>
    <t>Electricity for Apr 16 - May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</si>
</sst>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44" fontId="0" fillId="0" borderId="24" xfId="6" applyFont="1" applyBorder="1"/>
    <xf numFmtId="44" fontId="0" fillId="0" borderId="42" xfId="6" applyFont="1" applyBorder="1"/>
    <xf numFmtId="44" fontId="0" fillId="0" borderId="40" xfId="6" applyFont="1" applyBorder="1"/>
    <xf numFmtId="44" fontId="0" fillId="0" borderId="46" xfId="6" applyFont="1" applyBorder="1"/>
    <xf numFmtId="44" fontId="0" fillId="0" borderId="41" xfId="6" applyFont="1" applyBorder="1"/>
    <xf numFmtId="0" fontId="15" fillId="6" borderId="26" xfId="0" applyFont="1" applyFill="1" applyBorder="1" applyAlignment="1">
      <alignment horizontal="center"/>
    </xf>
    <xf numFmtId="0" fontId="15" fillId="6" borderId="47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44" fontId="0" fillId="0" borderId="40" xfId="6" applyNumberFormat="1" applyFont="1" applyBorder="1"/>
    <xf numFmtId="0" fontId="15" fillId="6" borderId="1" xfId="0" applyFont="1" applyFill="1" applyBorder="1" applyAlignment="1">
      <alignment horizontal="center" vertical="center"/>
    </xf>
    <xf numFmtId="168" fontId="0" fillId="0" borderId="49" xfId="0" applyNumberFormat="1" applyBorder="1" applyAlignment="1">
      <alignment horizontal="center"/>
    </xf>
    <xf numFmtId="168" fontId="0" fillId="0" borderId="50" xfId="0" applyNumberFormat="1" applyBorder="1" applyAlignment="1">
      <alignment horizontal="center"/>
    </xf>
    <xf numFmtId="0" fontId="0" fillId="0" borderId="48" xfId="0" applyBorder="1"/>
    <xf numFmtId="44" fontId="0" fillId="0" borderId="51" xfId="6" applyFont="1" applyBorder="1"/>
    <xf numFmtId="44" fontId="0" fillId="0" borderId="43" xfId="0" applyNumberFormat="1" applyFont="1" applyBorder="1"/>
    <xf numFmtId="2" fontId="0" fillId="0" borderId="44" xfId="0" applyNumberFormat="1" applyBorder="1"/>
    <xf numFmtId="0" fontId="0" fillId="0" borderId="45" xfId="0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medium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 style="thin">
          <color indexed="64"/>
        </horizontal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I26" totalsRowCount="1" headerRowDxfId="21" totalsRowDxfId="18" headerRowBorderDxfId="20" tableBorderDxfId="19" totalsRowBorderDxfId="17">
  <autoFilter ref="F3:I25" xr:uid="{238499DD-8D17-4833-9AA8-FD68DE0BF189}">
    <filterColumn colId="0" hiddenButton="1"/>
    <filterColumn colId="1" hiddenButton="1"/>
    <filterColumn colId="2" hiddenButton="1"/>
    <filterColumn colId="3" hiddenButton="1"/>
  </autoFilter>
  <tableColumns count="4">
    <tableColumn id="1" xr3:uid="{34E01CD7-5E1F-4AF4-974F-B394CD72DC31}" name="Date" totalsRowLabel="Total" dataDxfId="16" totalsRowDxfId="15"/>
    <tableColumn id="2" xr3:uid="{1A28A165-771D-4B12-92BE-3F5B7AFAC020}" name="Amount" totalsRowFunction="sum" dataDxfId="14" totalsRowDxfId="13" dataCellStyle="Currency"/>
    <tableColumn id="3" xr3:uid="{0EB43FCD-7135-4781-BA0E-2BEE28C2D12B}" name="Fees" totalsRowFunction="sum" dataDxfId="12" totalsRowDxfId="11" dataCellStyle="Currency"/>
    <tableColumn id="4" xr3:uid="{5E9918E3-918E-463F-BB9E-9462F612D3F5}" name="Net" totalsRowFunction="sum" dataDxfId="10" totalsRowDxfId="9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42" totalsRowCount="1" headerRowDxfId="8" headerRowBorderDxfId="7" tableBorderDxfId="6">
  <autoFilter ref="B3:D41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4"/>
    <tableColumn id="2" xr3:uid="{38C93123-F773-4EF3-A6D6-0F0F4B95AE61}" name="Item" dataDxfId="3" totalsRowDxfId="2"/>
    <tableColumn id="3" xr3:uid="{F544BB8B-517B-402A-A290-B981677C5A29}" name="Cost" totalsRowFunction="sum" dataDxfId="1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R13" sqref="R13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55">
        <v>44755</v>
      </c>
      <c r="C2" s="156"/>
    </row>
    <row r="3" spans="1:23" ht="15.75" thickBot="1" x14ac:dyDescent="0.3">
      <c r="D3" s="1"/>
      <c r="H3" s="1"/>
    </row>
    <row r="4" spans="1:23" ht="15.75" thickBot="1" x14ac:dyDescent="0.3">
      <c r="A4" s="161" t="s">
        <v>46</v>
      </c>
      <c r="B4" s="162"/>
      <c r="C4" s="58">
        <v>932.55</v>
      </c>
      <c r="D4" s="1"/>
      <c r="H4" s="1"/>
    </row>
    <row r="5" spans="1:23" ht="15.75" thickBot="1" x14ac:dyDescent="0.3">
      <c r="A5" s="157" t="s">
        <v>113</v>
      </c>
      <c r="B5" s="158"/>
      <c r="C5" s="57">
        <v>1412.81</v>
      </c>
    </row>
    <row r="6" spans="1:23" s="6" customFormat="1" ht="15.75" thickBot="1" x14ac:dyDescent="0.3">
      <c r="A6" s="157" t="s">
        <v>109</v>
      </c>
      <c r="B6" s="158"/>
      <c r="C6" s="57">
        <v>13671.53</v>
      </c>
    </row>
    <row r="7" spans="1:23" s="6" customFormat="1" ht="15.75" thickBot="1" x14ac:dyDescent="0.3">
      <c r="A7" s="159" t="s">
        <v>112</v>
      </c>
      <c r="B7" s="160"/>
      <c r="C7" s="57">
        <v>6511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250</v>
      </c>
      <c r="C12" s="104">
        <v>300</v>
      </c>
      <c r="D12" s="104">
        <v>350</v>
      </c>
      <c r="E12" s="104">
        <v>400</v>
      </c>
      <c r="F12" s="104">
        <v>300</v>
      </c>
      <c r="G12" s="104">
        <v>350</v>
      </c>
      <c r="H12" s="104">
        <v>450</v>
      </c>
      <c r="I12" s="104">
        <v>450</v>
      </c>
      <c r="J12" s="104">
        <v>500</v>
      </c>
      <c r="K12" s="104">
        <v>400</v>
      </c>
      <c r="L12" s="104">
        <v>550</v>
      </c>
      <c r="M12" s="104">
        <v>700</v>
      </c>
      <c r="N12" s="104">
        <v>600</v>
      </c>
      <c r="O12" s="104">
        <v>600</v>
      </c>
      <c r="P12" s="104">
        <v>600</v>
      </c>
      <c r="Q12" s="104">
        <v>900</v>
      </c>
      <c r="R12" s="104">
        <v>800</v>
      </c>
      <c r="S12" s="104">
        <v>900</v>
      </c>
      <c r="T12" s="104">
        <v>1000</v>
      </c>
      <c r="U12" s="116"/>
      <c r="V12" s="116">
        <v>1300</v>
      </c>
      <c r="W12" s="65">
        <f>1300*1.33</f>
        <v>1729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tabSelected="1" zoomScaleNormal="100" zoomScaleSheetLayoutView="115" workbookViewId="0">
      <selection activeCell="P15" sqref="P15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25">
      <c r="B3" s="133" t="s">
        <v>44</v>
      </c>
      <c r="C3" s="133"/>
      <c r="D3" s="155">
        <f>'Card Data'!$B$2</f>
        <v>44755</v>
      </c>
      <c r="E3" s="156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63" t="s">
        <v>32</v>
      </c>
      <c r="C5" s="166" t="s">
        <v>56</v>
      </c>
      <c r="D5" s="167"/>
      <c r="E5" s="59">
        <f>'Electricity Calculations'!$G$6</f>
        <v>10.324999999999999</v>
      </c>
      <c r="F5" s="1"/>
      <c r="G5" s="166" t="s">
        <v>50</v>
      </c>
      <c r="H5" s="167"/>
      <c r="I5" s="57">
        <f>'Card Data'!$C$5</f>
        <v>1412.81</v>
      </c>
      <c r="J5" s="1"/>
      <c r="K5" s="166" t="s">
        <v>111</v>
      </c>
      <c r="L5" s="167"/>
      <c r="M5" s="57">
        <f>'Card Data'!$C$7</f>
        <v>6511</v>
      </c>
      <c r="O5" s="161" t="s">
        <v>48</v>
      </c>
      <c r="P5" s="162"/>
      <c r="Q5" s="168">
        <f>$M$5*$M$6*$I$5/$E$6/10000</f>
        <v>2.0712320303790683</v>
      </c>
    </row>
    <row r="6" spans="2:31" s="6" customFormat="1" ht="15.75" thickBot="1" x14ac:dyDescent="0.3">
      <c r="B6" s="164"/>
      <c r="C6" s="166" t="s">
        <v>46</v>
      </c>
      <c r="D6" s="167"/>
      <c r="E6" s="58">
        <f>'Card Data'!$C$4</f>
        <v>932.55</v>
      </c>
      <c r="F6" s="1"/>
      <c r="G6" s="166" t="s">
        <v>110</v>
      </c>
      <c r="H6" s="167"/>
      <c r="I6" s="57">
        <f>'Card Data'!$C$6</f>
        <v>13671.53</v>
      </c>
      <c r="J6" s="1"/>
      <c r="K6" s="166" t="s">
        <v>39</v>
      </c>
      <c r="L6" s="167"/>
      <c r="M6" s="59">
        <f>$I$6/$M$5</f>
        <v>2.0997588696052834</v>
      </c>
      <c r="O6" s="170"/>
      <c r="P6" s="171"/>
      <c r="Q6" s="169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64"/>
      <c r="W7"/>
      <c r="X7"/>
      <c r="Y7"/>
      <c r="Z7"/>
      <c r="AA7"/>
      <c r="AB7"/>
      <c r="AC7"/>
      <c r="AD7"/>
      <c r="AE7"/>
    </row>
    <row r="8" spans="2:31" ht="15.75" thickBot="1" x14ac:dyDescent="0.3">
      <c r="B8" s="164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64"/>
      <c r="C9" s="26" t="s">
        <v>51</v>
      </c>
      <c r="D9" s="61">
        <f>$Q$5*D10/100</f>
        <v>0.62136960911372052</v>
      </c>
      <c r="E9" s="83">
        <f>$Q$5*E10/100</f>
        <v>0.66072301769092279</v>
      </c>
      <c r="F9" s="27">
        <f t="shared" ref="F9:S9" si="0">$Q$5*F10/100</f>
        <v>0.70421889032888318</v>
      </c>
      <c r="G9" s="27">
        <f t="shared" si="0"/>
        <v>0.9527667339743715</v>
      </c>
      <c r="H9" s="27">
        <f t="shared" si="0"/>
        <v>0.62136960911372052</v>
      </c>
      <c r="I9" s="27">
        <f t="shared" si="0"/>
        <v>0.66279424972130185</v>
      </c>
      <c r="J9" s="27">
        <f t="shared" si="0"/>
        <v>0.8750955328351564</v>
      </c>
      <c r="K9" s="27">
        <f t="shared" si="0"/>
        <v>0.91134209336679006</v>
      </c>
      <c r="L9" s="27">
        <f t="shared" si="0"/>
        <v>0.8906297730629994</v>
      </c>
      <c r="M9" s="27">
        <f t="shared" si="0"/>
        <v>0.8906297730629994</v>
      </c>
      <c r="N9" s="27">
        <f t="shared" si="0"/>
        <v>0.87405991681996698</v>
      </c>
      <c r="O9" s="27">
        <f t="shared" si="0"/>
        <v>1.2261693619844085</v>
      </c>
      <c r="P9" s="27">
        <f t="shared" si="0"/>
        <v>1.2530953783793364</v>
      </c>
      <c r="Q9" s="27">
        <f t="shared" si="0"/>
        <v>1.2543381175975639</v>
      </c>
      <c r="R9" s="27">
        <f t="shared" si="0"/>
        <v>1.9262457882525337</v>
      </c>
      <c r="S9" s="28">
        <f t="shared" si="0"/>
        <v>2.4854784364548821</v>
      </c>
      <c r="T9" s="2"/>
    </row>
    <row r="10" spans="2:31" x14ac:dyDescent="0.25">
      <c r="B10" s="164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64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64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64"/>
      <c r="C13" s="29" t="s">
        <v>52</v>
      </c>
      <c r="D13" s="33">
        <f t="shared" ref="D13:S13" si="2">D9-D12</f>
        <v>0.32400960911372056</v>
      </c>
      <c r="E13" s="87">
        <f t="shared" ref="E13" si="3">E9-E12</f>
        <v>0.32619301769092274</v>
      </c>
      <c r="F13" s="34">
        <f t="shared" si="2"/>
        <v>0.28295889032888322</v>
      </c>
      <c r="G13" s="34">
        <f t="shared" si="2"/>
        <v>0.35804673397437159</v>
      </c>
      <c r="H13" s="34">
        <f t="shared" ref="H13" si="4">H9-H12</f>
        <v>0.39834960911372053</v>
      </c>
      <c r="I13" s="34">
        <f>I9-I12</f>
        <v>0.43977424972130186</v>
      </c>
      <c r="J13" s="34">
        <f t="shared" si="2"/>
        <v>0.60251553283515635</v>
      </c>
      <c r="K13" s="34">
        <f t="shared" si="2"/>
        <v>0.6139820933667901</v>
      </c>
      <c r="L13" s="34">
        <f t="shared" si="2"/>
        <v>0.58087977306299943</v>
      </c>
      <c r="M13" s="34">
        <f t="shared" si="2"/>
        <v>0.62300577306299942</v>
      </c>
      <c r="N13" s="34">
        <f t="shared" si="2"/>
        <v>0.52713991681996708</v>
      </c>
      <c r="O13" s="34">
        <f t="shared" si="2"/>
        <v>0.65622936198440862</v>
      </c>
      <c r="P13" s="34">
        <f t="shared" si="2"/>
        <v>0.95573537837933642</v>
      </c>
      <c r="Q13" s="34">
        <f t="shared" si="2"/>
        <v>0.9569781175975639</v>
      </c>
      <c r="R13" s="34">
        <f t="shared" si="2"/>
        <v>1.2819657882525337</v>
      </c>
      <c r="S13" s="35">
        <f t="shared" si="2"/>
        <v>1.7792484364548822</v>
      </c>
    </row>
    <row r="14" spans="2:31" ht="17.25" x14ac:dyDescent="0.25">
      <c r="B14" s="164"/>
      <c r="C14" s="15" t="s">
        <v>53</v>
      </c>
      <c r="D14" s="19">
        <f>INDEX('Card Data'!$12:$12,MATCH('Nvidia Analysis'!D$8,'Card Data'!$9:$9,0))</f>
        <v>250</v>
      </c>
      <c r="E14" s="88">
        <f>INDEX('Card Data'!$12:$12,MATCH('Nvidia Analysis'!E$8,'Card Data'!$9:$9,0))</f>
        <v>300</v>
      </c>
      <c r="F14" s="20">
        <f>INDEX('Card Data'!$12:$12,MATCH('Nvidia Analysis'!F$8,'Card Data'!$9:$9,0))</f>
        <v>350</v>
      </c>
      <c r="G14" s="20">
        <f>INDEX('Card Data'!$12:$12,MATCH('Nvidia Analysis'!G$8,'Card Data'!$9:$9,0))</f>
        <v>400</v>
      </c>
      <c r="H14" s="20">
        <f>INDEX('Card Data'!$12:$12,MATCH('Nvidia Analysis'!H$8,'Card Data'!$9:$9,0))</f>
        <v>300</v>
      </c>
      <c r="I14" s="20">
        <f>INDEX('Card Data'!$12:$12,MATCH('Nvidia Analysis'!I$8,'Card Data'!$9:$9,0))</f>
        <v>350</v>
      </c>
      <c r="J14" s="20">
        <f>INDEX('Card Data'!$12:$12,MATCH('Nvidia Analysis'!J$8,'Card Data'!$9:$9,0))</f>
        <v>450</v>
      </c>
      <c r="K14" s="20">
        <f>INDEX('Card Data'!$12:$12,MATCH('Nvidia Analysis'!K$8,'Card Data'!$9:$9,0))</f>
        <v>450</v>
      </c>
      <c r="L14" s="20">
        <f>INDEX('Card Data'!$12:$12,MATCH('Nvidia Analysis'!L$8,'Card Data'!$9:$9,0))</f>
        <v>500</v>
      </c>
      <c r="M14" s="20">
        <f>INDEX('Card Data'!$12:$12,MATCH('Nvidia Analysis'!M$8,'Card Data'!$9:$9,0))</f>
        <v>400</v>
      </c>
      <c r="N14" s="20">
        <f>INDEX('Card Data'!$12:$12,MATCH('Nvidia Analysis'!N$8,'Card Data'!$9:$9,0))</f>
        <v>550</v>
      </c>
      <c r="O14" s="20">
        <f>INDEX('Card Data'!$12:$12,MATCH('Nvidia Analysis'!O$8,'Card Data'!$9:$9,0))</f>
        <v>700</v>
      </c>
      <c r="P14" s="20">
        <f>INDEX('Card Data'!$12:$12,MATCH('Nvidia Analysis'!P$8,'Card Data'!$9:$9,0))</f>
        <v>600</v>
      </c>
      <c r="Q14" s="20">
        <f>INDEX('Card Data'!$12:$12,MATCH('Nvidia Analysis'!Q$8,'Card Data'!$9:$9,0))</f>
        <v>900</v>
      </c>
      <c r="R14" s="20">
        <f>INDEX('Card Data'!$12:$12,MATCH('Nvidia Analysis'!R$8,'Card Data'!$9:$9,0))</f>
        <v>1000</v>
      </c>
      <c r="S14" s="21">
        <f>INDEX('Card Data'!$12:$12,MATCH('Nvidia Analysis'!S$8,'Card Data'!$9:$9,0))</f>
        <v>1729</v>
      </c>
    </row>
    <row r="15" spans="2:31" x14ac:dyDescent="0.25">
      <c r="B15" s="164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64"/>
      <c r="C16" s="15" t="s">
        <v>54</v>
      </c>
      <c r="D16" s="39">
        <f t="shared" ref="D16:E16" si="6">D14/D13</f>
        <v>771.58205487743805</v>
      </c>
      <c r="E16" s="90">
        <f t="shared" si="6"/>
        <v>919.70086338346653</v>
      </c>
      <c r="F16" s="40">
        <f t="shared" ref="F16:S16" si="7">F14/F13</f>
        <v>1236.9287976539449</v>
      </c>
      <c r="G16" s="40">
        <f t="shared" si="7"/>
        <v>1117.1725980012188</v>
      </c>
      <c r="H16" s="40">
        <f t="shared" ref="H16" si="8">H14/H13</f>
        <v>753.10730357552893</v>
      </c>
      <c r="I16" s="40">
        <f t="shared" si="7"/>
        <v>795.86287787837853</v>
      </c>
      <c r="J16" s="40">
        <f t="shared" si="7"/>
        <v>746.86871205213652</v>
      </c>
      <c r="K16" s="40">
        <f t="shared" si="7"/>
        <v>732.9203976168277</v>
      </c>
      <c r="L16" s="40">
        <f>L14/L13</f>
        <v>860.76331658698052</v>
      </c>
      <c r="M16" s="40">
        <f t="shared" si="7"/>
        <v>642.04862506073653</v>
      </c>
      <c r="N16" s="40">
        <f t="shared" si="7"/>
        <v>1043.3662533430195</v>
      </c>
      <c r="O16" s="40">
        <f t="shared" si="7"/>
        <v>1066.7002126866603</v>
      </c>
      <c r="P16" s="40">
        <f t="shared" si="7"/>
        <v>627.78883525001925</v>
      </c>
      <c r="Q16" s="40">
        <f t="shared" si="7"/>
        <v>940.4603756869551</v>
      </c>
      <c r="R16" s="40">
        <f t="shared" si="7"/>
        <v>780.05201789598038</v>
      </c>
      <c r="S16" s="41">
        <f t="shared" si="7"/>
        <v>971.75861705125271</v>
      </c>
    </row>
    <row r="17" spans="2:31" ht="18" thickBot="1" x14ac:dyDescent="0.3">
      <c r="B17" s="164"/>
      <c r="C17" s="8" t="s">
        <v>40</v>
      </c>
      <c r="D17" s="36">
        <f>IFERROR(D13*365/D14,"N/A")</f>
        <v>0.47305402930603202</v>
      </c>
      <c r="E17" s="91">
        <f t="shared" ref="E17:S17" si="9">IFERROR(E13*365/E14,"N/A")</f>
        <v>0.39686817152395598</v>
      </c>
      <c r="F17" s="37">
        <f t="shared" si="9"/>
        <v>0.29508569991440681</v>
      </c>
      <c r="G17" s="37">
        <f t="shared" si="9"/>
        <v>0.32671764475161408</v>
      </c>
      <c r="H17" s="37">
        <f t="shared" si="9"/>
        <v>0.48465869108835996</v>
      </c>
      <c r="I17" s="37">
        <f t="shared" si="9"/>
        <v>0.45862171756650055</v>
      </c>
      <c r="J17" s="37">
        <f t="shared" si="9"/>
        <v>0.48870704329962683</v>
      </c>
      <c r="K17" s="37">
        <f t="shared" si="9"/>
        <v>0.49800769795306304</v>
      </c>
      <c r="L17" s="37">
        <f t="shared" si="9"/>
        <v>0.42404223433598959</v>
      </c>
      <c r="M17" s="37">
        <f t="shared" si="9"/>
        <v>0.56849276791998693</v>
      </c>
      <c r="N17" s="37">
        <f t="shared" si="9"/>
        <v>0.34982921752597812</v>
      </c>
      <c r="O17" s="37">
        <f t="shared" si="9"/>
        <v>0.34217673874901305</v>
      </c>
      <c r="P17" s="37">
        <f t="shared" si="9"/>
        <v>0.58140568851409635</v>
      </c>
      <c r="Q17" s="37">
        <f t="shared" si="9"/>
        <v>0.38810779213678975</v>
      </c>
      <c r="R17" s="37">
        <f t="shared" si="9"/>
        <v>0.4679175127121748</v>
      </c>
      <c r="S17" s="38">
        <f t="shared" si="9"/>
        <v>0.37560768033894271</v>
      </c>
    </row>
    <row r="18" spans="2:31" s="6" customFormat="1" x14ac:dyDescent="0.25">
      <c r="B18" s="164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64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65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63" t="s">
        <v>18</v>
      </c>
      <c r="C22" s="108" t="s">
        <v>33</v>
      </c>
      <c r="D22" s="60">
        <f>1-2/$M$6</f>
        <v>4.7509678872810879E-2</v>
      </c>
      <c r="E22" s="92"/>
    </row>
    <row r="23" spans="2:31" ht="15.75" customHeight="1" thickBot="1" x14ac:dyDescent="0.3">
      <c r="B23" s="164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64"/>
      <c r="C24" s="42" t="s">
        <v>35</v>
      </c>
      <c r="D24" s="43">
        <f t="shared" ref="D24:S24" si="11">D$9*(1-$D$22)</f>
        <v>0.59184853852340369</v>
      </c>
      <c r="E24" s="93">
        <f t="shared" si="11"/>
        <v>0.62933227929655255</v>
      </c>
      <c r="F24" s="44">
        <f t="shared" si="11"/>
        <v>0.67076167699319067</v>
      </c>
      <c r="G24" s="44">
        <f t="shared" si="11"/>
        <v>0.90750109240255228</v>
      </c>
      <c r="H24" s="44">
        <f t="shared" si="11"/>
        <v>0.59184853852340369</v>
      </c>
      <c r="I24" s="44">
        <f t="shared" si="11"/>
        <v>0.63130510775829718</v>
      </c>
      <c r="J24" s="44">
        <f t="shared" si="11"/>
        <v>0.83352002508712675</v>
      </c>
      <c r="K24" s="44">
        <f t="shared" si="11"/>
        <v>0.86804452316765868</v>
      </c>
      <c r="L24" s="44">
        <f t="shared" si="11"/>
        <v>0.84831623855021188</v>
      </c>
      <c r="M24" s="44">
        <f t="shared" si="11"/>
        <v>0.84831623855021188</v>
      </c>
      <c r="N24" s="44">
        <f t="shared" si="11"/>
        <v>0.83253361085625455</v>
      </c>
      <c r="O24" s="44">
        <f t="shared" si="11"/>
        <v>1.1679144493528499</v>
      </c>
      <c r="P24" s="44">
        <f t="shared" si="11"/>
        <v>1.1935612193555307</v>
      </c>
      <c r="Q24" s="44">
        <f t="shared" si="11"/>
        <v>1.1947449164325774</v>
      </c>
      <c r="R24" s="44">
        <f t="shared" si="11"/>
        <v>1.8347304694225512</v>
      </c>
      <c r="S24" s="45">
        <f t="shared" si="11"/>
        <v>2.3673941540936148</v>
      </c>
    </row>
    <row r="25" spans="2:31" x14ac:dyDescent="0.25">
      <c r="B25" s="164"/>
      <c r="C25" s="22" t="s">
        <v>17</v>
      </c>
      <c r="D25" s="50">
        <f t="shared" ref="D25:S25" si="12">D24-D$12</f>
        <v>0.29448853852340373</v>
      </c>
      <c r="E25" s="94">
        <f t="shared" ref="E25" si="13">E24-E$12</f>
        <v>0.29480227929655251</v>
      </c>
      <c r="F25" s="51">
        <f t="shared" si="12"/>
        <v>0.2495016769931907</v>
      </c>
      <c r="G25" s="51">
        <f t="shared" si="12"/>
        <v>0.31278109240255236</v>
      </c>
      <c r="H25" s="51">
        <f t="shared" ref="H25" si="14">H24-H$12</f>
        <v>0.36882853852340369</v>
      </c>
      <c r="I25" s="51">
        <f t="shared" si="12"/>
        <v>0.40828510775829718</v>
      </c>
      <c r="J25" s="51">
        <f t="shared" si="12"/>
        <v>0.56094002508712681</v>
      </c>
      <c r="K25" s="51">
        <f t="shared" si="12"/>
        <v>0.57068452316765872</v>
      </c>
      <c r="L25" s="51">
        <f t="shared" si="12"/>
        <v>0.53856623855021191</v>
      </c>
      <c r="M25" s="51">
        <f t="shared" si="12"/>
        <v>0.5806922385502119</v>
      </c>
      <c r="N25" s="51">
        <f t="shared" si="12"/>
        <v>0.4856136108562546</v>
      </c>
      <c r="O25" s="51">
        <f t="shared" si="12"/>
        <v>0.59797444935285005</v>
      </c>
      <c r="P25" s="51">
        <f t="shared" si="12"/>
        <v>0.89620121935553076</v>
      </c>
      <c r="Q25" s="51">
        <f t="shared" si="12"/>
        <v>0.89738491643257745</v>
      </c>
      <c r="R25" s="51">
        <f t="shared" si="12"/>
        <v>1.1904504694225513</v>
      </c>
      <c r="S25" s="52">
        <f t="shared" si="12"/>
        <v>1.6611641540936148</v>
      </c>
    </row>
    <row r="26" spans="2:31" x14ac:dyDescent="0.25">
      <c r="B26" s="164"/>
      <c r="C26" s="46" t="s">
        <v>15</v>
      </c>
      <c r="D26" s="47">
        <f t="shared" ref="D26:S26" si="15">IF(D25&gt;0,D$14/D25,"N/A")</f>
        <v>848.92947363427481</v>
      </c>
      <c r="E26" s="95">
        <f t="shared" ref="E26" si="16">IF(E25&gt;0,E$14/E25,"N/A")</f>
        <v>1017.6312093510611</v>
      </c>
      <c r="F26" s="48">
        <f t="shared" si="15"/>
        <v>1402.7961824463091</v>
      </c>
      <c r="G26" s="48">
        <f t="shared" si="15"/>
        <v>1278.8496802268214</v>
      </c>
      <c r="H26" s="48">
        <f t="shared" ref="H26" si="17">IF(H25&gt;0,H$14/H25,"N/A")</f>
        <v>813.38608232715092</v>
      </c>
      <c r="I26" s="48">
        <f t="shared" si="15"/>
        <v>857.24410062783454</v>
      </c>
      <c r="J26" s="48">
        <f t="shared" si="15"/>
        <v>802.22480100275379</v>
      </c>
      <c r="K26" s="48">
        <f t="shared" si="15"/>
        <v>788.52672839665672</v>
      </c>
      <c r="L26" s="48">
        <f t="shared" si="15"/>
        <v>928.39090943756537</v>
      </c>
      <c r="M26" s="48">
        <f t="shared" si="15"/>
        <v>688.83304002592138</v>
      </c>
      <c r="N26" s="48">
        <f t="shared" si="15"/>
        <v>1132.5876946286917</v>
      </c>
      <c r="O26" s="48">
        <f t="shared" si="15"/>
        <v>1170.6185786994172</v>
      </c>
      <c r="P26" s="48">
        <f t="shared" si="15"/>
        <v>669.49250574716621</v>
      </c>
      <c r="Q26" s="48">
        <f t="shared" si="15"/>
        <v>1002.9141158041951</v>
      </c>
      <c r="R26" s="48">
        <f t="shared" si="15"/>
        <v>840.01814916757303</v>
      </c>
      <c r="S26" s="49">
        <f t="shared" si="15"/>
        <v>1040.8363289920608</v>
      </c>
    </row>
    <row r="27" spans="2:31" ht="15.75" thickBot="1" x14ac:dyDescent="0.3">
      <c r="B27" s="164"/>
      <c r="C27" s="53" t="s">
        <v>16</v>
      </c>
      <c r="D27" s="54">
        <f>IFERROR(D25*365/D$14,"N/A")</f>
        <v>0.42995326624416946</v>
      </c>
      <c r="E27" s="96">
        <f t="shared" ref="E27:S27" si="18">IFERROR(E25*365/E$14,"N/A")</f>
        <v>0.35867610647747222</v>
      </c>
      <c r="F27" s="55">
        <f t="shared" si="18"/>
        <v>0.26019460600718458</v>
      </c>
      <c r="G27" s="55">
        <f t="shared" si="18"/>
        <v>0.28541274681732903</v>
      </c>
      <c r="H27" s="55">
        <f t="shared" si="18"/>
        <v>0.44874138853680778</v>
      </c>
      <c r="I27" s="55">
        <f t="shared" si="18"/>
        <v>0.42578304094793851</v>
      </c>
      <c r="J27" s="55">
        <f t="shared" si="18"/>
        <v>0.45498468701511396</v>
      </c>
      <c r="K27" s="55">
        <f t="shared" si="18"/>
        <v>0.4628885576804343</v>
      </c>
      <c r="L27" s="55">
        <f t="shared" si="18"/>
        <v>0.3931533541416547</v>
      </c>
      <c r="M27" s="55">
        <f t="shared" si="18"/>
        <v>0.52988166767706835</v>
      </c>
      <c r="N27" s="55">
        <f t="shared" si="18"/>
        <v>0.32227085084096896</v>
      </c>
      <c r="O27" s="55">
        <f t="shared" si="18"/>
        <v>0.31180096287684322</v>
      </c>
      <c r="P27" s="55">
        <f t="shared" si="18"/>
        <v>0.5451890751079479</v>
      </c>
      <c r="Q27" s="55">
        <f t="shared" si="18"/>
        <v>0.36393943833098974</v>
      </c>
      <c r="R27" s="55">
        <f t="shared" si="18"/>
        <v>0.43451442133923118</v>
      </c>
      <c r="S27" s="56">
        <f t="shared" si="18"/>
        <v>0.35067953513254452</v>
      </c>
    </row>
    <row r="28" spans="2:31" ht="108.75" customHeight="1" thickBot="1" x14ac:dyDescent="0.3">
      <c r="B28" s="165"/>
      <c r="C28" s="172" t="s">
        <v>38</v>
      </c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3"/>
      <c r="S28" s="174"/>
    </row>
    <row r="29" spans="2:31" ht="15.75" thickBot="1" x14ac:dyDescent="0.3"/>
    <row r="30" spans="2:31" ht="15.75" thickBot="1" x14ac:dyDescent="0.3">
      <c r="B30" s="163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64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64"/>
      <c r="C32" s="42" t="s">
        <v>35</v>
      </c>
      <c r="D32" s="43">
        <f t="shared" ref="D32:S32" si="20">D$9*(1-$D$30)</f>
        <v>3.6707243812411992E-2</v>
      </c>
      <c r="E32" s="93">
        <f t="shared" si="20"/>
        <v>3.9032035920531415E-2</v>
      </c>
      <c r="F32" s="44">
        <f t="shared" si="20"/>
        <v>4.1601542987400257E-2</v>
      </c>
      <c r="G32" s="44">
        <f t="shared" si="20"/>
        <v>5.6284440512365058E-2</v>
      </c>
      <c r="H32" s="44">
        <f t="shared" si="20"/>
        <v>3.6707243812411992E-2</v>
      </c>
      <c r="I32" s="44">
        <f t="shared" si="20"/>
        <v>3.9154393399906125E-2</v>
      </c>
      <c r="J32" s="44">
        <f t="shared" si="20"/>
        <v>5.1696035035813555E-2</v>
      </c>
      <c r="K32" s="44">
        <f t="shared" si="20"/>
        <v>5.3837290924870919E-2</v>
      </c>
      <c r="L32" s="44">
        <f t="shared" si="20"/>
        <v>5.2613716131123853E-2</v>
      </c>
      <c r="M32" s="44">
        <f t="shared" si="20"/>
        <v>5.2613716131123853E-2</v>
      </c>
      <c r="N32" s="44">
        <f t="shared" si="20"/>
        <v>5.1634856296126214E-2</v>
      </c>
      <c r="O32" s="44">
        <f t="shared" si="20"/>
        <v>7.2435627789826332E-2</v>
      </c>
      <c r="P32" s="44">
        <f t="shared" si="20"/>
        <v>7.4026275021697521E-2</v>
      </c>
      <c r="Q32" s="44">
        <f t="shared" si="20"/>
        <v>7.4099689509322345E-2</v>
      </c>
      <c r="R32" s="44">
        <f t="shared" si="20"/>
        <v>0.11379245581847718</v>
      </c>
      <c r="S32" s="45">
        <f t="shared" si="20"/>
        <v>0.14682897524964797</v>
      </c>
    </row>
    <row r="33" spans="2:19" x14ac:dyDescent="0.25">
      <c r="B33" s="164"/>
      <c r="C33" s="22" t="s">
        <v>17</v>
      </c>
      <c r="D33" s="50">
        <f t="shared" ref="D33:S33" si="21">D32-D$12</f>
        <v>-0.26065275618758799</v>
      </c>
      <c r="E33" s="94">
        <f t="shared" ref="E33" si="22">E32-E$12</f>
        <v>-0.29549796407946866</v>
      </c>
      <c r="F33" s="51">
        <f t="shared" si="21"/>
        <v>-0.3796584570125997</v>
      </c>
      <c r="G33" s="51">
        <f t="shared" si="21"/>
        <v>-0.53843555948763488</v>
      </c>
      <c r="H33" s="51">
        <f t="shared" ref="H33" si="23">H32-H$12</f>
        <v>-0.186312756187588</v>
      </c>
      <c r="I33" s="51">
        <f t="shared" si="21"/>
        <v>-0.18386560660009388</v>
      </c>
      <c r="J33" s="51">
        <f t="shared" si="21"/>
        <v>-0.22088396496418644</v>
      </c>
      <c r="K33" s="51">
        <f t="shared" si="21"/>
        <v>-0.24352270907512905</v>
      </c>
      <c r="L33" s="51">
        <f t="shared" si="21"/>
        <v>-0.2571362838688761</v>
      </c>
      <c r="M33" s="51">
        <f t="shared" si="21"/>
        <v>-0.21501028386887611</v>
      </c>
      <c r="N33" s="51">
        <f t="shared" si="21"/>
        <v>-0.29528514370387371</v>
      </c>
      <c r="O33" s="51">
        <f t="shared" si="21"/>
        <v>-0.49750437221017357</v>
      </c>
      <c r="P33" s="51">
        <f t="shared" si="21"/>
        <v>-0.22333372497830245</v>
      </c>
      <c r="Q33" s="51">
        <f t="shared" si="21"/>
        <v>-0.22326031049067763</v>
      </c>
      <c r="R33" s="51">
        <f t="shared" si="21"/>
        <v>-0.53048754418152277</v>
      </c>
      <c r="S33" s="52">
        <f t="shared" si="21"/>
        <v>-0.55940102475035192</v>
      </c>
    </row>
    <row r="34" spans="2:19" x14ac:dyDescent="0.25">
      <c r="B34" s="164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64"/>
      <c r="C35" s="53" t="s">
        <v>16</v>
      </c>
      <c r="D35" s="54">
        <f>IFERROR(D33*365/D$14,"N/A")</f>
        <v>-0.38055302403387842</v>
      </c>
      <c r="E35" s="96">
        <f t="shared" ref="E35:S35" si="27">IFERROR(E33*365/E$14,"N/A")</f>
        <v>-0.35952252296335357</v>
      </c>
      <c r="F35" s="55">
        <f t="shared" si="27"/>
        <v>-0.39592953374171114</v>
      </c>
      <c r="G35" s="55">
        <f t="shared" si="27"/>
        <v>-0.49132244803246683</v>
      </c>
      <c r="H35" s="55">
        <f t="shared" si="27"/>
        <v>-0.22668052002823208</v>
      </c>
      <c r="I35" s="55">
        <f t="shared" si="27"/>
        <v>-0.19174556116866934</v>
      </c>
      <c r="J35" s="55">
        <f t="shared" si="27"/>
        <v>-0.17916143824872902</v>
      </c>
      <c r="K35" s="55">
        <f t="shared" si="27"/>
        <v>-0.19752397513871578</v>
      </c>
      <c r="L35" s="55">
        <f t="shared" si="27"/>
        <v>-0.18770948722427955</v>
      </c>
      <c r="M35" s="55">
        <f t="shared" si="27"/>
        <v>-0.19619688403034946</v>
      </c>
      <c r="N35" s="55">
        <f t="shared" si="27"/>
        <v>-0.19596195900347982</v>
      </c>
      <c r="O35" s="55">
        <f t="shared" si="27"/>
        <v>-0.25941299408101909</v>
      </c>
      <c r="P35" s="55">
        <f t="shared" si="27"/>
        <v>-0.13586134936180067</v>
      </c>
      <c r="Q35" s="55">
        <f t="shared" si="27"/>
        <v>-9.0544459254552595E-2</v>
      </c>
      <c r="R35" s="55">
        <f t="shared" si="27"/>
        <v>-0.19362795362625582</v>
      </c>
      <c r="S35" s="56">
        <f t="shared" si="27"/>
        <v>-0.11809217700050807</v>
      </c>
    </row>
    <row r="36" spans="2:19" ht="80.25" customHeight="1" thickBot="1" x14ac:dyDescent="0.3">
      <c r="B36" s="165"/>
      <c r="C36" s="172" t="s">
        <v>47</v>
      </c>
      <c r="D36" s="173"/>
      <c r="E36" s="173"/>
      <c r="F36" s="173"/>
      <c r="G36" s="173"/>
      <c r="H36" s="173"/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4"/>
    </row>
    <row r="37" spans="2:19" ht="15.75" thickBot="1" x14ac:dyDescent="0.3"/>
    <row r="38" spans="2:19" ht="15.75" thickBot="1" x14ac:dyDescent="0.3">
      <c r="B38" s="163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64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64"/>
      <c r="C40" s="42" t="s">
        <v>35</v>
      </c>
      <c r="D40" s="43">
        <f t="shared" ref="D40:S40" si="29">D$9*(1-$D$38)</f>
        <v>0.21449413553035904</v>
      </c>
      <c r="E40" s="93">
        <f t="shared" si="29"/>
        <v>0.22807876411394842</v>
      </c>
      <c r="F40" s="44">
        <f t="shared" si="29"/>
        <v>0.24309335360107356</v>
      </c>
      <c r="G40" s="44">
        <f t="shared" si="29"/>
        <v>0.32889100781321723</v>
      </c>
      <c r="H40" s="44">
        <f t="shared" si="29"/>
        <v>0.21449413553035904</v>
      </c>
      <c r="I40" s="44">
        <f t="shared" si="29"/>
        <v>0.2287937445657163</v>
      </c>
      <c r="J40" s="44">
        <f t="shared" si="29"/>
        <v>0.30207924087192234</v>
      </c>
      <c r="K40" s="44">
        <f t="shared" si="29"/>
        <v>0.31459139877785991</v>
      </c>
      <c r="L40" s="44">
        <f t="shared" si="29"/>
        <v>0.30744159426018131</v>
      </c>
      <c r="M40" s="44">
        <f t="shared" si="29"/>
        <v>0.30744159426018131</v>
      </c>
      <c r="N40" s="44">
        <f t="shared" si="29"/>
        <v>0.3017217506460384</v>
      </c>
      <c r="O40" s="44">
        <f t="shared" si="29"/>
        <v>0.42326842744657517</v>
      </c>
      <c r="P40" s="44">
        <f t="shared" si="29"/>
        <v>0.4325631733195574</v>
      </c>
      <c r="Q40" s="44">
        <f t="shared" si="29"/>
        <v>0.43299216159061815</v>
      </c>
      <c r="R40" s="44">
        <f t="shared" si="29"/>
        <v>0.66493182014411301</v>
      </c>
      <c r="S40" s="45">
        <f t="shared" si="29"/>
        <v>0.85797654212143615</v>
      </c>
    </row>
    <row r="41" spans="2:19" x14ac:dyDescent="0.25">
      <c r="B41" s="164"/>
      <c r="C41" s="22" t="s">
        <v>17</v>
      </c>
      <c r="D41" s="50">
        <f>D40-D$12</f>
        <v>-8.2865864469640921E-2</v>
      </c>
      <c r="E41" s="94">
        <f>E40-E$12</f>
        <v>-0.10645123588605163</v>
      </c>
      <c r="F41" s="51">
        <f>F40-F$12</f>
        <v>-0.1781666463989264</v>
      </c>
      <c r="G41" s="51">
        <f t="shared" ref="G41:H41" si="30">G40-G$12</f>
        <v>-0.26582899218678269</v>
      </c>
      <c r="H41" s="51">
        <f t="shared" si="30"/>
        <v>-8.5258644696409591E-3</v>
      </c>
      <c r="I41" s="51">
        <f t="shared" ref="I41" si="31">I40-I$12</f>
        <v>5.7737445657163045E-3</v>
      </c>
      <c r="J41" s="51">
        <f t="shared" ref="J41" si="32">J40-J$12</f>
        <v>2.949924087192235E-2</v>
      </c>
      <c r="K41" s="51">
        <f t="shared" ref="K41" si="33">K40-K$12</f>
        <v>1.7231398777859952E-2</v>
      </c>
      <c r="L41" s="51">
        <f t="shared" ref="L41" si="34">L40-L$12</f>
        <v>-2.3084057398186641E-3</v>
      </c>
      <c r="M41" s="51">
        <f t="shared" ref="M41" si="35">M40-M$12</f>
        <v>3.9817594260181333E-2</v>
      </c>
      <c r="N41" s="51">
        <f t="shared" ref="N41" si="36">N40-N$12</f>
        <v>-4.519824935396155E-2</v>
      </c>
      <c r="O41" s="51">
        <f t="shared" ref="O41" si="37">O40-O$12</f>
        <v>-0.14667157255342472</v>
      </c>
      <c r="P41" s="51">
        <f t="shared" ref="P41" si="38">P40-P$12</f>
        <v>0.13520317331955745</v>
      </c>
      <c r="Q41" s="51">
        <f t="shared" ref="Q41" si="39">Q40-Q$12</f>
        <v>0.13563216159061819</v>
      </c>
      <c r="R41" s="51">
        <f t="shared" ref="R41" si="40">R40-R$12</f>
        <v>2.0651820144113042E-2</v>
      </c>
      <c r="S41" s="52">
        <f>S40-S$12</f>
        <v>0.15174654212143623</v>
      </c>
    </row>
    <row r="42" spans="2:19" x14ac:dyDescent="0.25">
      <c r="B42" s="164"/>
      <c r="C42" s="46" t="s">
        <v>15</v>
      </c>
      <c r="D42" s="47" t="str">
        <f>IF(D41&gt;0,D$14/D41,"N/A")</f>
        <v>N/A</v>
      </c>
      <c r="E42" s="95" t="str">
        <f>IF(E41&gt;0,E$14/E41,"N/A")</f>
        <v>N/A</v>
      </c>
      <c r="F42" s="48" t="str">
        <f>IF(F41&gt;0,F$14/F41,"N/A")</f>
        <v>N/A</v>
      </c>
      <c r="G42" s="48" t="str">
        <f t="shared" ref="G42:H42" si="41">IF(G41&gt;0,G$14/G41,"N/A")</f>
        <v>N/A</v>
      </c>
      <c r="H42" s="48" t="str">
        <f t="shared" si="41"/>
        <v>N/A</v>
      </c>
      <c r="I42" s="48">
        <f t="shared" ref="I42" si="42">IF(I41&gt;0,I$14/I41,"N/A")</f>
        <v>60619.238696192333</v>
      </c>
      <c r="J42" s="48">
        <f t="shared" ref="J42" si="43">IF(J41&gt;0,J$14/J41,"N/A")</f>
        <v>15254.629837892342</v>
      </c>
      <c r="K42" s="48">
        <f t="shared" ref="K42" si="44">IF(K41&gt;0,K$14/K41,"N/A")</f>
        <v>26115.117281029441</v>
      </c>
      <c r="L42" s="48" t="str">
        <f t="shared" ref="L42" si="45">IF(L41&gt;0,L$14/L41,"N/A")</f>
        <v>N/A</v>
      </c>
      <c r="M42" s="48">
        <f t="shared" ref="M42" si="46">IF(M41&gt;0,M$14/M41,"N/A")</f>
        <v>10045.810336663428</v>
      </c>
      <c r="N42" s="48" t="str">
        <f t="shared" ref="N42" si="47">IF(N41&gt;0,N$14/N41,"N/A")</f>
        <v>N/A</v>
      </c>
      <c r="O42" s="48" t="str">
        <f t="shared" ref="O42" si="48">IF(O41&gt;0,O$14/O41,"N/A")</f>
        <v>N/A</v>
      </c>
      <c r="P42" s="48">
        <f t="shared" ref="P42" si="49">IF(P41&gt;0,P$14/P41,"N/A")</f>
        <v>4437.7656623626644</v>
      </c>
      <c r="Q42" s="48">
        <f t="shared" ref="Q42" si="50">IF(Q41&gt;0,Q$14/Q41,"N/A")</f>
        <v>6635.5943121845357</v>
      </c>
      <c r="R42" s="48">
        <f t="shared" ref="R42" si="51">IF(R41&gt;0,R$14/R41,"N/A")</f>
        <v>48421.88209183381</v>
      </c>
      <c r="S42" s="49">
        <f>IF(S41&gt;0,S$14/S41,"N/A")</f>
        <v>11393.999334866923</v>
      </c>
    </row>
    <row r="43" spans="2:19" ht="15.75" thickBot="1" x14ac:dyDescent="0.3">
      <c r="B43" s="164"/>
      <c r="C43" s="53" t="s">
        <v>16</v>
      </c>
      <c r="D43" s="12">
        <f>IFERROR(D41*365/D$14,"N/A")</f>
        <v>-0.12098416212567574</v>
      </c>
      <c r="E43" s="97">
        <f t="shared" ref="E43:S43" si="52">IFERROR(E41*365/E$14,"N/A")</f>
        <v>-0.12951567032802949</v>
      </c>
      <c r="F43" s="13">
        <f t="shared" si="52"/>
        <v>-0.18580235981602325</v>
      </c>
      <c r="G43" s="13">
        <f t="shared" si="52"/>
        <v>-0.24256895537043921</v>
      </c>
      <c r="H43" s="13">
        <f t="shared" si="52"/>
        <v>-1.0373135104729833E-2</v>
      </c>
      <c r="I43" s="13">
        <f t="shared" si="52"/>
        <v>6.0211907613898601E-3</v>
      </c>
      <c r="J43" s="13">
        <f t="shared" si="52"/>
        <v>2.3927162040559242E-2</v>
      </c>
      <c r="K43" s="13">
        <f t="shared" si="52"/>
        <v>1.3976579008708627E-2</v>
      </c>
      <c r="L43" s="13">
        <f t="shared" si="52"/>
        <v>-1.6851361900676247E-3</v>
      </c>
      <c r="M43" s="13">
        <f t="shared" si="52"/>
        <v>3.6333554762415468E-2</v>
      </c>
      <c r="N43" s="13">
        <f t="shared" si="52"/>
        <v>-2.9995201843992667E-2</v>
      </c>
      <c r="O43" s="13">
        <f t="shared" si="52"/>
        <v>-7.647874854571432E-2</v>
      </c>
      <c r="P43" s="13">
        <f t="shared" si="52"/>
        <v>8.2248597102730775E-2</v>
      </c>
      <c r="Q43" s="13">
        <f t="shared" si="52"/>
        <v>5.5006376645084044E-2</v>
      </c>
      <c r="R43" s="13">
        <f t="shared" si="52"/>
        <v>7.5379143526012613E-3</v>
      </c>
      <c r="S43" s="14">
        <f t="shared" si="52"/>
        <v>3.2034405942350623E-2</v>
      </c>
    </row>
    <row r="44" spans="2:19" ht="74.25" customHeight="1" thickBot="1" x14ac:dyDescent="0.3">
      <c r="B44" s="165"/>
      <c r="C44" s="172" t="s">
        <v>37</v>
      </c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4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R12" sqref="R1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25">
      <c r="B3" s="133" t="s">
        <v>44</v>
      </c>
      <c r="C3" s="133"/>
      <c r="D3" s="155">
        <f>'Card Data'!$B$2</f>
        <v>44755</v>
      </c>
      <c r="E3" s="156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63" t="s">
        <v>32</v>
      </c>
      <c r="C5" s="166" t="s">
        <v>56</v>
      </c>
      <c r="D5" s="167"/>
      <c r="E5" s="59">
        <f>'Electricity Calculations'!$G$6</f>
        <v>10.324999999999999</v>
      </c>
      <c r="F5" s="1"/>
      <c r="G5" s="166" t="s">
        <v>50</v>
      </c>
      <c r="H5" s="167"/>
      <c r="I5" s="57">
        <f>'Card Data'!$C$5</f>
        <v>1412.81</v>
      </c>
      <c r="J5" s="1"/>
      <c r="K5" s="166" t="s">
        <v>111</v>
      </c>
      <c r="L5" s="167"/>
      <c r="M5" s="57">
        <f>'Card Data'!$C$7</f>
        <v>6511</v>
      </c>
      <c r="O5" s="161" t="s">
        <v>48</v>
      </c>
      <c r="P5" s="162"/>
      <c r="Q5" s="168">
        <f>$M$5*$M$6*$I$5/$E$6/10000</f>
        <v>2.0712320303790683</v>
      </c>
    </row>
    <row r="6" spans="2:21" ht="15.75" thickBot="1" x14ac:dyDescent="0.3">
      <c r="B6" s="164"/>
      <c r="C6" s="166" t="s">
        <v>46</v>
      </c>
      <c r="D6" s="167"/>
      <c r="E6" s="58">
        <f>'Card Data'!$C$4</f>
        <v>932.55</v>
      </c>
      <c r="F6" s="1"/>
      <c r="G6" s="166" t="s">
        <v>110</v>
      </c>
      <c r="H6" s="167"/>
      <c r="I6" s="57">
        <f>'Card Data'!$C$6</f>
        <v>13671.53</v>
      </c>
      <c r="J6" s="1"/>
      <c r="K6" s="166" t="s">
        <v>39</v>
      </c>
      <c r="L6" s="167"/>
      <c r="M6" s="59">
        <f>$I$6/$M$5</f>
        <v>2.0997588696052834</v>
      </c>
      <c r="O6" s="170"/>
      <c r="P6" s="171"/>
      <c r="Q6" s="169"/>
    </row>
    <row r="7" spans="2:21" ht="15.75" thickBot="1" x14ac:dyDescent="0.3">
      <c r="B7" s="164"/>
    </row>
    <row r="8" spans="2:21" ht="15.75" thickBot="1" x14ac:dyDescent="0.3">
      <c r="B8" s="164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64"/>
      <c r="C9" s="26" t="s">
        <v>51</v>
      </c>
      <c r="D9" s="61">
        <f t="shared" ref="D9:S9" si="0">$Q$5*D10/100</f>
        <v>0.62965453723523668</v>
      </c>
      <c r="E9" s="83">
        <f t="shared" si="0"/>
        <v>0.62965453723523668</v>
      </c>
      <c r="F9" s="27">
        <f t="shared" si="0"/>
        <v>0.63172576926561586</v>
      </c>
      <c r="G9" s="27">
        <f t="shared" si="0"/>
        <v>0.64829562550864839</v>
      </c>
      <c r="H9" s="27">
        <f t="shared" si="0"/>
        <v>0.63793946535675305</v>
      </c>
      <c r="I9" s="27">
        <f t="shared" si="0"/>
        <v>0.53852032789855775</v>
      </c>
      <c r="J9" s="27">
        <f t="shared" si="0"/>
        <v>0.76635585124025529</v>
      </c>
      <c r="K9" s="27">
        <f t="shared" si="0"/>
        <v>1.1081091362528015</v>
      </c>
      <c r="L9" s="27">
        <f t="shared" si="0"/>
        <v>1.1329639206173505</v>
      </c>
      <c r="M9" s="27">
        <f t="shared" si="0"/>
        <v>0.97347905427816217</v>
      </c>
      <c r="N9" s="27">
        <f t="shared" si="0"/>
        <v>1.3131611072603291</v>
      </c>
      <c r="O9" s="27">
        <f t="shared" si="0"/>
        <v>1.3338734275641202</v>
      </c>
      <c r="P9" s="27">
        <f t="shared" si="0"/>
        <v>1.3255884994426037</v>
      </c>
      <c r="Q9" s="27">
        <f t="shared" si="0"/>
        <v>0.79949556372632047</v>
      </c>
      <c r="R9" s="27">
        <f t="shared" si="0"/>
        <v>0.97347905427816217</v>
      </c>
      <c r="S9" s="28">
        <f t="shared" si="0"/>
        <v>1.8744649874930568</v>
      </c>
    </row>
    <row r="10" spans="2:21" x14ac:dyDescent="0.25">
      <c r="B10" s="164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64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64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64"/>
      <c r="C13" s="29" t="s">
        <v>52</v>
      </c>
      <c r="D13" s="33">
        <f t="shared" ref="D13:S13" si="2">D9-D12</f>
        <v>0.33229453723523672</v>
      </c>
      <c r="E13" s="87">
        <f t="shared" si="2"/>
        <v>0.3075145372352367</v>
      </c>
      <c r="F13" s="34">
        <f t="shared" si="2"/>
        <v>0.30958576926561587</v>
      </c>
      <c r="G13" s="34">
        <f t="shared" si="2"/>
        <v>0.32615562550864841</v>
      </c>
      <c r="H13" s="34">
        <f t="shared" si="2"/>
        <v>0.31579946535675307</v>
      </c>
      <c r="I13" s="34">
        <f>I9-I12</f>
        <v>0.3650603278985578</v>
      </c>
      <c r="J13" s="34">
        <f t="shared" si="2"/>
        <v>0.51855585124025527</v>
      </c>
      <c r="K13" s="34">
        <f t="shared" si="2"/>
        <v>0.71162913625280155</v>
      </c>
      <c r="L13" s="34">
        <f t="shared" si="2"/>
        <v>0.78604392061735062</v>
      </c>
      <c r="M13" s="34">
        <f t="shared" si="2"/>
        <v>0.5522190542781622</v>
      </c>
      <c r="N13" s="34">
        <f t="shared" si="2"/>
        <v>0.87951110726032899</v>
      </c>
      <c r="O13" s="34">
        <f t="shared" si="2"/>
        <v>0.86305342756412018</v>
      </c>
      <c r="P13" s="34">
        <f t="shared" si="2"/>
        <v>0.78042849944260373</v>
      </c>
      <c r="Q13" s="34">
        <f t="shared" si="2"/>
        <v>0.2667255637263205</v>
      </c>
      <c r="R13" s="34">
        <f t="shared" si="2"/>
        <v>0.42831905427816219</v>
      </c>
      <c r="S13" s="35">
        <f t="shared" si="2"/>
        <v>1.3293049874930567</v>
      </c>
    </row>
    <row r="14" spans="2:21" ht="17.25" x14ac:dyDescent="0.25">
      <c r="B14" s="164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64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64"/>
      <c r="C16" s="15" t="s">
        <v>54</v>
      </c>
      <c r="D16" s="39">
        <f t="shared" ref="D16:S16" si="4">D14/D13</f>
        <v>1504.6891957963242</v>
      </c>
      <c r="E16" s="90">
        <f t="shared" si="4"/>
        <v>1625.9393929644352</v>
      </c>
      <c r="F16" s="40">
        <f t="shared" si="4"/>
        <v>1615.061316242266</v>
      </c>
      <c r="G16" s="40">
        <f t="shared" si="4"/>
        <v>1533.0105044799907</v>
      </c>
      <c r="H16" s="40">
        <f t="shared" si="4"/>
        <v>1583.2832377824288</v>
      </c>
      <c r="I16" s="40">
        <f t="shared" si="4"/>
        <v>1369.6366375338898</v>
      </c>
      <c r="J16" s="40">
        <f t="shared" si="4"/>
        <v>1253.4811794050022</v>
      </c>
      <c r="K16" s="40">
        <f t="shared" si="4"/>
        <v>1264.7036976859824</v>
      </c>
      <c r="L16" s="40">
        <f t="shared" si="4"/>
        <v>1208.583865458663</v>
      </c>
      <c r="M16" s="40">
        <f t="shared" si="4"/>
        <v>1448.7004637058872</v>
      </c>
      <c r="N16" s="40">
        <f t="shared" si="4"/>
        <v>1478.0938970168222</v>
      </c>
      <c r="O16" s="40">
        <f t="shared" si="4"/>
        <v>1969.7505921482471</v>
      </c>
      <c r="P16" s="40">
        <f t="shared" si="4"/>
        <v>2050.1557812698397</v>
      </c>
      <c r="Q16" s="40">
        <f t="shared" si="4"/>
        <v>2624.4203600906062</v>
      </c>
      <c r="R16" s="40">
        <f t="shared" si="4"/>
        <v>1984.501953648755</v>
      </c>
      <c r="S16" s="41">
        <f t="shared" si="4"/>
        <v>1579.772903703913</v>
      </c>
    </row>
    <row r="17" spans="2:19" ht="18" thickBot="1" x14ac:dyDescent="0.3">
      <c r="B17" s="165"/>
      <c r="C17" s="8" t="s">
        <v>40</v>
      </c>
      <c r="D17" s="36">
        <f>IFERROR(D13*365/D14,"N/A")</f>
        <v>0.24257501218172281</v>
      </c>
      <c r="E17" s="91">
        <f t="shared" ref="E17:S17" si="5">IFERROR(E13*365/E14,"N/A")</f>
        <v>0.22448561218172278</v>
      </c>
      <c r="F17" s="37">
        <f t="shared" si="5"/>
        <v>0.22599761156389961</v>
      </c>
      <c r="G17" s="37">
        <f t="shared" si="5"/>
        <v>0.23809360662131335</v>
      </c>
      <c r="H17" s="37">
        <f t="shared" si="5"/>
        <v>0.23053360971042974</v>
      </c>
      <c r="I17" s="37">
        <f t="shared" si="5"/>
        <v>0.26649403936594718</v>
      </c>
      <c r="J17" s="37">
        <f t="shared" si="5"/>
        <v>0.29118905492722025</v>
      </c>
      <c r="K17" s="37">
        <f t="shared" si="5"/>
        <v>0.2886051497025251</v>
      </c>
      <c r="L17" s="37">
        <f t="shared" si="5"/>
        <v>0.30200634844771895</v>
      </c>
      <c r="M17" s="37">
        <f t="shared" si="5"/>
        <v>0.25194994351441147</v>
      </c>
      <c r="N17" s="37">
        <f t="shared" si="5"/>
        <v>0.24693965703847701</v>
      </c>
      <c r="O17" s="37">
        <f t="shared" si="5"/>
        <v>0.18530264768288462</v>
      </c>
      <c r="P17" s="37">
        <f t="shared" si="5"/>
        <v>0.17803525143534396</v>
      </c>
      <c r="Q17" s="37">
        <f t="shared" si="5"/>
        <v>0.13907832965729569</v>
      </c>
      <c r="R17" s="37">
        <f t="shared" si="5"/>
        <v>0.18392524095474022</v>
      </c>
      <c r="S17" s="38">
        <f t="shared" si="5"/>
        <v>0.23104586687379319</v>
      </c>
    </row>
    <row r="18" spans="2:19" ht="15.75" thickBot="1" x14ac:dyDescent="0.3"/>
    <row r="19" spans="2:19" ht="15.75" thickBot="1" x14ac:dyDescent="0.3">
      <c r="B19" s="163" t="s">
        <v>18</v>
      </c>
      <c r="C19" s="108" t="s">
        <v>33</v>
      </c>
      <c r="D19" s="60">
        <f>1-2/$M$6</f>
        <v>4.7509678872810879E-2</v>
      </c>
      <c r="E19" s="92"/>
    </row>
    <row r="20" spans="2:19" ht="15.75" customHeight="1" thickBot="1" x14ac:dyDescent="0.3">
      <c r="B20" s="164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64"/>
      <c r="C21" s="42" t="s">
        <v>35</v>
      </c>
      <c r="D21" s="43">
        <f t="shared" ref="D21:S21" si="7">D$9*(1-$D$19)</f>
        <v>0.5997398523703823</v>
      </c>
      <c r="E21" s="93">
        <f t="shared" si="7"/>
        <v>0.5997398523703823</v>
      </c>
      <c r="F21" s="44">
        <f t="shared" si="7"/>
        <v>0.60171268083212703</v>
      </c>
      <c r="G21" s="44">
        <f t="shared" si="7"/>
        <v>0.61749530852608447</v>
      </c>
      <c r="H21" s="44">
        <f t="shared" si="7"/>
        <v>0.60763116621736102</v>
      </c>
      <c r="I21" s="44">
        <f t="shared" si="7"/>
        <v>0.51293540005361649</v>
      </c>
      <c r="J21" s="44">
        <f t="shared" si="7"/>
        <v>0.72994653084553118</v>
      </c>
      <c r="K21" s="44">
        <f t="shared" si="7"/>
        <v>1.055463227033403</v>
      </c>
      <c r="L21" s="44">
        <f t="shared" si="7"/>
        <v>1.0791371685743394</v>
      </c>
      <c r="M21" s="44">
        <f t="shared" si="7"/>
        <v>0.92722937701999908</v>
      </c>
      <c r="N21" s="44">
        <f t="shared" si="7"/>
        <v>1.2507732447461262</v>
      </c>
      <c r="O21" s="44">
        <f t="shared" si="7"/>
        <v>1.2705015293635733</v>
      </c>
      <c r="P21" s="44">
        <f t="shared" si="7"/>
        <v>1.2626102155165944</v>
      </c>
      <c r="Q21" s="44">
        <f t="shared" si="7"/>
        <v>0.76151178623344606</v>
      </c>
      <c r="R21" s="44">
        <f t="shared" si="7"/>
        <v>0.92722937701999908</v>
      </c>
      <c r="S21" s="45">
        <f t="shared" si="7"/>
        <v>1.7854097578789343</v>
      </c>
    </row>
    <row r="22" spans="2:19" x14ac:dyDescent="0.25">
      <c r="B22" s="164"/>
      <c r="C22" s="22" t="s">
        <v>17</v>
      </c>
      <c r="D22" s="50">
        <f t="shared" ref="D22:S22" si="8">D21-D$12</f>
        <v>0.30237985237038234</v>
      </c>
      <c r="E22" s="94">
        <f t="shared" si="8"/>
        <v>0.27759985237038232</v>
      </c>
      <c r="F22" s="51">
        <f t="shared" si="8"/>
        <v>0.27957268083212705</v>
      </c>
      <c r="G22" s="51">
        <f t="shared" si="8"/>
        <v>0.29535530852608449</v>
      </c>
      <c r="H22" s="51">
        <f t="shared" si="8"/>
        <v>0.28549116621736104</v>
      </c>
      <c r="I22" s="51">
        <f t="shared" si="8"/>
        <v>0.33947540005361654</v>
      </c>
      <c r="J22" s="51">
        <f t="shared" si="8"/>
        <v>0.48214653084553122</v>
      </c>
      <c r="K22" s="51">
        <f t="shared" si="8"/>
        <v>0.65898322703340306</v>
      </c>
      <c r="L22" s="51">
        <f t="shared" si="8"/>
        <v>0.73221716857433949</v>
      </c>
      <c r="M22" s="51">
        <f t="shared" si="8"/>
        <v>0.50596937701999911</v>
      </c>
      <c r="N22" s="51">
        <f t="shared" si="8"/>
        <v>0.81712324474612608</v>
      </c>
      <c r="O22" s="51">
        <f t="shared" si="8"/>
        <v>0.79968152936357328</v>
      </c>
      <c r="P22" s="51">
        <f t="shared" si="8"/>
        <v>0.71745021551659438</v>
      </c>
      <c r="Q22" s="51">
        <f t="shared" si="8"/>
        <v>0.2287417862334461</v>
      </c>
      <c r="R22" s="51">
        <f t="shared" si="8"/>
        <v>0.3820693770199991</v>
      </c>
      <c r="S22" s="52">
        <f t="shared" si="8"/>
        <v>1.2402497578789342</v>
      </c>
    </row>
    <row r="23" spans="2:19" x14ac:dyDescent="0.25">
      <c r="B23" s="164"/>
      <c r="C23" s="46" t="s">
        <v>15</v>
      </c>
      <c r="D23" s="47">
        <f t="shared" ref="D23:S23" si="9">IF(D22&gt;0,D$14/D22,"N/A")</f>
        <v>1653.5493224183288</v>
      </c>
      <c r="E23" s="95">
        <f t="shared" si="9"/>
        <v>1801.153695618269</v>
      </c>
      <c r="F23" s="48">
        <f t="shared" si="9"/>
        <v>1788.4437009788926</v>
      </c>
      <c r="G23" s="48">
        <f t="shared" si="9"/>
        <v>1692.8762936246401</v>
      </c>
      <c r="H23" s="48">
        <f t="shared" si="9"/>
        <v>1751.3676749609861</v>
      </c>
      <c r="I23" s="48">
        <f t="shared" si="9"/>
        <v>1472.8607725950992</v>
      </c>
      <c r="J23" s="48">
        <f t="shared" si="9"/>
        <v>1348.1378759691734</v>
      </c>
      <c r="K23" s="48">
        <f t="shared" si="9"/>
        <v>1365.7403755959028</v>
      </c>
      <c r="L23" s="48">
        <f t="shared" si="9"/>
        <v>1297.4292884304989</v>
      </c>
      <c r="M23" s="48">
        <f t="shared" si="9"/>
        <v>1581.1233571323012</v>
      </c>
      <c r="N23" s="48">
        <f t="shared" si="9"/>
        <v>1590.9472755286749</v>
      </c>
      <c r="O23" s="48">
        <f t="shared" si="9"/>
        <v>2125.8462745199895</v>
      </c>
      <c r="P23" s="48">
        <f t="shared" si="9"/>
        <v>2230.1198959818175</v>
      </c>
      <c r="Q23" s="48">
        <f t="shared" si="9"/>
        <v>3060.2191734465332</v>
      </c>
      <c r="R23" s="48">
        <f t="shared" si="9"/>
        <v>2224.726845762118</v>
      </c>
      <c r="S23" s="49">
        <f t="shared" si="9"/>
        <v>1693.207345261977</v>
      </c>
    </row>
    <row r="24" spans="2:19" ht="15.75" thickBot="1" x14ac:dyDescent="0.3">
      <c r="B24" s="165"/>
      <c r="C24" s="53" t="s">
        <v>16</v>
      </c>
      <c r="D24" s="54">
        <f>IFERROR(D22*365/D$14,"N/A")</f>
        <v>0.22073729223037911</v>
      </c>
      <c r="E24" s="96">
        <f t="shared" ref="E24:S24" si="10">IFERROR(E22*365/E$14,"N/A")</f>
        <v>0.20264789223037907</v>
      </c>
      <c r="F24" s="55">
        <f t="shared" si="10"/>
        <v>0.20408805700745275</v>
      </c>
      <c r="G24" s="55">
        <f t="shared" si="10"/>
        <v>0.21560937522404169</v>
      </c>
      <c r="H24" s="55">
        <f t="shared" si="10"/>
        <v>0.20840855133867356</v>
      </c>
      <c r="I24" s="55">
        <f t="shared" si="10"/>
        <v>0.24781704203914007</v>
      </c>
      <c r="J24" s="55">
        <f t="shared" si="10"/>
        <v>0.27074382116710599</v>
      </c>
      <c r="K24" s="55">
        <f t="shared" si="10"/>
        <v>0.26725430874132455</v>
      </c>
      <c r="L24" s="55">
        <f t="shared" si="10"/>
        <v>0.28132554371540414</v>
      </c>
      <c r="M24" s="55">
        <f t="shared" si="10"/>
        <v>0.23084852826537461</v>
      </c>
      <c r="N24" s="55">
        <f t="shared" si="10"/>
        <v>0.2294230648710277</v>
      </c>
      <c r="O24" s="55">
        <f t="shared" si="10"/>
        <v>0.17169632836335547</v>
      </c>
      <c r="P24" s="55">
        <f t="shared" si="10"/>
        <v>0.16366833041472309</v>
      </c>
      <c r="Q24" s="55">
        <f t="shared" si="10"/>
        <v>0.11927250282172547</v>
      </c>
      <c r="R24" s="55">
        <f t="shared" si="10"/>
        <v>0.16406508542623491</v>
      </c>
      <c r="S24" s="56">
        <f t="shared" si="10"/>
        <v>0.21556721982181476</v>
      </c>
    </row>
    <row r="25" spans="2:19" ht="15.75" thickBot="1" x14ac:dyDescent="0.3"/>
    <row r="26" spans="2:19" ht="15.75" thickBot="1" x14ac:dyDescent="0.3">
      <c r="B26" s="163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64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64"/>
      <c r="C28" s="42" t="s">
        <v>35</v>
      </c>
      <c r="D28" s="43">
        <f t="shared" ref="D28:S28" si="12">D$9*(1-$D$26)</f>
        <v>3.7196673729910812E-2</v>
      </c>
      <c r="E28" s="93">
        <f t="shared" si="12"/>
        <v>3.7196673729910812E-2</v>
      </c>
      <c r="F28" s="44">
        <f t="shared" si="12"/>
        <v>3.7319031209285529E-2</v>
      </c>
      <c r="G28" s="44">
        <f t="shared" si="12"/>
        <v>3.8297891044283175E-2</v>
      </c>
      <c r="H28" s="44">
        <f t="shared" si="12"/>
        <v>3.7686103647409645E-2</v>
      </c>
      <c r="I28" s="44">
        <f t="shared" si="12"/>
        <v>3.1812944637423728E-2</v>
      </c>
      <c r="J28" s="44">
        <f t="shared" si="12"/>
        <v>4.5272267368641456E-2</v>
      </c>
      <c r="K28" s="44">
        <f t="shared" si="12"/>
        <v>6.5461251465468051E-2</v>
      </c>
      <c r="L28" s="44">
        <f t="shared" si="12"/>
        <v>6.6929541217964544E-2</v>
      </c>
      <c r="M28" s="44">
        <f t="shared" si="12"/>
        <v>5.7508015306112124E-2</v>
      </c>
      <c r="N28" s="44">
        <f t="shared" si="12"/>
        <v>7.7574641923563989E-2</v>
      </c>
      <c r="O28" s="44">
        <f t="shared" si="12"/>
        <v>7.879821671731109E-2</v>
      </c>
      <c r="P28" s="44">
        <f t="shared" si="12"/>
        <v>7.8308786799812249E-2</v>
      </c>
      <c r="Q28" s="44">
        <f t="shared" si="12"/>
        <v>4.7229987038636768E-2</v>
      </c>
      <c r="R28" s="44">
        <f t="shared" si="12"/>
        <v>5.7508015306112124E-2</v>
      </c>
      <c r="S28" s="45">
        <f t="shared" si="12"/>
        <v>0.11073351883410951</v>
      </c>
    </row>
    <row r="29" spans="2:19" x14ac:dyDescent="0.25">
      <c r="B29" s="164"/>
      <c r="C29" s="22" t="s">
        <v>17</v>
      </c>
      <c r="D29" s="50">
        <f t="shared" ref="D29:S29" si="13">D28-D$12</f>
        <v>-0.26016332627008915</v>
      </c>
      <c r="E29" s="94">
        <f t="shared" si="13"/>
        <v>-0.28494332627008917</v>
      </c>
      <c r="F29" s="51">
        <f t="shared" si="13"/>
        <v>-0.28482096879071445</v>
      </c>
      <c r="G29" s="51">
        <f t="shared" si="13"/>
        <v>-0.28384210895571682</v>
      </c>
      <c r="H29" s="51">
        <f t="shared" si="13"/>
        <v>-0.28445389635259033</v>
      </c>
      <c r="I29" s="51">
        <f t="shared" si="13"/>
        <v>-0.14164705536257624</v>
      </c>
      <c r="J29" s="51">
        <f t="shared" si="13"/>
        <v>-0.20252773263135851</v>
      </c>
      <c r="K29" s="51">
        <f t="shared" si="13"/>
        <v>-0.33101874853453189</v>
      </c>
      <c r="L29" s="51">
        <f t="shared" si="13"/>
        <v>-0.27999045878203543</v>
      </c>
      <c r="M29" s="51">
        <f t="shared" si="13"/>
        <v>-0.36375198469388786</v>
      </c>
      <c r="N29" s="51">
        <f t="shared" si="13"/>
        <v>-0.35607535807643603</v>
      </c>
      <c r="O29" s="51">
        <f t="shared" si="13"/>
        <v>-0.39202178328268888</v>
      </c>
      <c r="P29" s="51">
        <f t="shared" si="13"/>
        <v>-0.46685121320018774</v>
      </c>
      <c r="Q29" s="51">
        <f t="shared" si="13"/>
        <v>-0.48554001296136318</v>
      </c>
      <c r="R29" s="51">
        <f t="shared" si="13"/>
        <v>-0.48765198469388787</v>
      </c>
      <c r="S29" s="52">
        <f t="shared" si="13"/>
        <v>-0.43442648116589044</v>
      </c>
    </row>
    <row r="30" spans="2:19" x14ac:dyDescent="0.25">
      <c r="B30" s="164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65"/>
      <c r="C31" s="53" t="s">
        <v>16</v>
      </c>
      <c r="D31" s="54">
        <f>IFERROR(D29*365/D$14,"N/A")</f>
        <v>-0.18991922817716508</v>
      </c>
      <c r="E31" s="96">
        <f t="shared" ref="E31:S31" si="15">IFERROR(E29*365/E$14,"N/A")</f>
        <v>-0.20800862817716509</v>
      </c>
      <c r="F31" s="55">
        <f t="shared" si="15"/>
        <v>-0.20791930721722157</v>
      </c>
      <c r="G31" s="55">
        <f t="shared" si="15"/>
        <v>-0.20720473953767327</v>
      </c>
      <c r="H31" s="55">
        <f t="shared" si="15"/>
        <v>-0.20765134433739096</v>
      </c>
      <c r="I31" s="55">
        <f t="shared" si="15"/>
        <v>-0.10340235041468065</v>
      </c>
      <c r="J31" s="55">
        <f t="shared" si="15"/>
        <v>-0.11372711140068593</v>
      </c>
      <c r="K31" s="55">
        <f t="shared" si="15"/>
        <v>-0.13424649246122683</v>
      </c>
      <c r="L31" s="55">
        <f t="shared" si="15"/>
        <v>-0.10757528153204519</v>
      </c>
      <c r="M31" s="55">
        <f t="shared" si="15"/>
        <v>-0.16596184301658634</v>
      </c>
      <c r="N31" s="55">
        <f t="shared" si="15"/>
        <v>-9.9975004382999347E-2</v>
      </c>
      <c r="O31" s="55">
        <f t="shared" si="15"/>
        <v>-8.41693828812832E-2</v>
      </c>
      <c r="P31" s="55">
        <f t="shared" si="15"/>
        <v>-0.10650043301129283</v>
      </c>
      <c r="Q31" s="55">
        <f t="shared" si="15"/>
        <v>-0.25317443532985368</v>
      </c>
      <c r="R31" s="55">
        <f t="shared" si="15"/>
        <v>-0.20940349930972832</v>
      </c>
      <c r="S31" s="56">
        <f t="shared" si="15"/>
        <v>-7.5507459821690492E-2</v>
      </c>
    </row>
    <row r="32" spans="2:19" ht="15.75" thickBot="1" x14ac:dyDescent="0.3"/>
    <row r="33" spans="2:19" ht="15.75" thickBot="1" x14ac:dyDescent="0.3">
      <c r="B33" s="163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64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64"/>
      <c r="C35" s="42" t="s">
        <v>35</v>
      </c>
      <c r="D35" s="43">
        <f t="shared" ref="D35:S35" si="17">D$9*(1-$D$33)</f>
        <v>0.21735405733743046</v>
      </c>
      <c r="E35" s="93">
        <f t="shared" si="17"/>
        <v>0.21735405733743046</v>
      </c>
      <c r="F35" s="44">
        <f t="shared" si="17"/>
        <v>0.21806903778919837</v>
      </c>
      <c r="G35" s="44">
        <f t="shared" si="17"/>
        <v>0.22378888140334124</v>
      </c>
      <c r="H35" s="44">
        <f t="shared" si="17"/>
        <v>0.22021397914450194</v>
      </c>
      <c r="I35" s="44">
        <f t="shared" si="17"/>
        <v>0.18589491745964448</v>
      </c>
      <c r="J35" s="44">
        <f t="shared" si="17"/>
        <v>0.26454276715410946</v>
      </c>
      <c r="K35" s="44">
        <f t="shared" si="17"/>
        <v>0.3825145416958069</v>
      </c>
      <c r="L35" s="44">
        <f t="shared" si="17"/>
        <v>0.39109430711702137</v>
      </c>
      <c r="M35" s="44">
        <f t="shared" si="17"/>
        <v>0.33604081233089583</v>
      </c>
      <c r="N35" s="44">
        <f t="shared" si="17"/>
        <v>0.45329760642082534</v>
      </c>
      <c r="O35" s="44">
        <f t="shared" si="17"/>
        <v>0.46044741093850411</v>
      </c>
      <c r="P35" s="44">
        <f t="shared" si="17"/>
        <v>0.4575874891314326</v>
      </c>
      <c r="Q35" s="44">
        <f t="shared" si="17"/>
        <v>0.27598245438239533</v>
      </c>
      <c r="R35" s="44">
        <f t="shared" si="17"/>
        <v>0.33604081233089583</v>
      </c>
      <c r="S35" s="45">
        <f t="shared" si="17"/>
        <v>0.64705730884991641</v>
      </c>
    </row>
    <row r="36" spans="2:19" x14ac:dyDescent="0.25">
      <c r="B36" s="164"/>
      <c r="C36" s="22" t="s">
        <v>17</v>
      </c>
      <c r="D36" s="50">
        <f>D35-D$12</f>
        <v>-8.0005942662569496E-2</v>
      </c>
      <c r="E36" s="94">
        <f>E35-E$12</f>
        <v>-0.10478594266256952</v>
      </c>
      <c r="F36" s="51">
        <f>F35-F$12</f>
        <v>-0.10407096221080162</v>
      </c>
      <c r="G36" s="51">
        <f t="shared" ref="G36:R36" si="18">G35-G$12</f>
        <v>-9.8351118596658738E-2</v>
      </c>
      <c r="H36" s="51">
        <f t="shared" si="18"/>
        <v>-0.10192602085549804</v>
      </c>
      <c r="I36" s="51">
        <f t="shared" si="18"/>
        <v>1.2434917459644507E-2</v>
      </c>
      <c r="J36" s="51">
        <f t="shared" si="18"/>
        <v>1.6742767154109495E-2</v>
      </c>
      <c r="K36" s="51">
        <f t="shared" si="18"/>
        <v>-1.3965458304193046E-2</v>
      </c>
      <c r="L36" s="51">
        <f t="shared" si="18"/>
        <v>4.4174307117021416E-2</v>
      </c>
      <c r="M36" s="51">
        <f t="shared" si="18"/>
        <v>-8.5219187669104135E-2</v>
      </c>
      <c r="N36" s="51">
        <f t="shared" si="18"/>
        <v>1.9647606420825303E-2</v>
      </c>
      <c r="O36" s="51">
        <f t="shared" si="18"/>
        <v>-1.0372589061495852E-2</v>
      </c>
      <c r="P36" s="51">
        <f t="shared" si="18"/>
        <v>-8.7572510868567377E-2</v>
      </c>
      <c r="Q36" s="51">
        <f t="shared" si="18"/>
        <v>-0.25678754561760464</v>
      </c>
      <c r="R36" s="51">
        <f t="shared" si="18"/>
        <v>-0.20911918766910415</v>
      </c>
      <c r="S36" s="52">
        <f>S35-S$12</f>
        <v>0.10189730884991643</v>
      </c>
    </row>
    <row r="37" spans="2:19" x14ac:dyDescent="0.25">
      <c r="B37" s="164"/>
      <c r="C37" s="46" t="s">
        <v>15</v>
      </c>
      <c r="D37" s="47" t="str">
        <f>IF(D36&gt;0,D$14/D36,"N/A")</f>
        <v>N/A</v>
      </c>
      <c r="E37" s="95" t="str">
        <f>IF(E36&gt;0,E$14/E36,"N/A")</f>
        <v>N/A</v>
      </c>
      <c r="F37" s="48" t="str">
        <f>IF(F36&gt;0,F$14/F36,"N/A")</f>
        <v>N/A</v>
      </c>
      <c r="G37" s="48" t="str">
        <f t="shared" ref="G37:R37" si="19">IF(G36&gt;0,G$14/G36,"N/A")</f>
        <v>N/A</v>
      </c>
      <c r="H37" s="48" t="str">
        <f t="shared" si="19"/>
        <v>N/A</v>
      </c>
      <c r="I37" s="48">
        <f t="shared" si="19"/>
        <v>40209.354153147244</v>
      </c>
      <c r="J37" s="48">
        <f t="shared" si="19"/>
        <v>38822.734259937322</v>
      </c>
      <c r="K37" s="48" t="str">
        <f t="shared" si="19"/>
        <v>N/A</v>
      </c>
      <c r="L37" s="48">
        <f t="shared" si="19"/>
        <v>21505.713660281552</v>
      </c>
      <c r="M37" s="48" t="str">
        <f t="shared" si="19"/>
        <v>N/A</v>
      </c>
      <c r="N37" s="48">
        <f t="shared" si="19"/>
        <v>66165.820515524814</v>
      </c>
      <c r="O37" s="48" t="str">
        <f t="shared" si="19"/>
        <v>N/A</v>
      </c>
      <c r="P37" s="48" t="str">
        <f t="shared" si="19"/>
        <v>N/A</v>
      </c>
      <c r="Q37" s="48" t="str">
        <f t="shared" si="19"/>
        <v>N/A</v>
      </c>
      <c r="R37" s="48" t="str">
        <f t="shared" si="19"/>
        <v>N/A</v>
      </c>
      <c r="S37" s="49">
        <f>IF(S36&gt;0,S$14/S36,"N/A")</f>
        <v>20608.983924129632</v>
      </c>
    </row>
    <row r="38" spans="2:19" ht="15.75" thickBot="1" x14ac:dyDescent="0.3">
      <c r="B38" s="165"/>
      <c r="C38" s="53" t="s">
        <v>16</v>
      </c>
      <c r="D38" s="12">
        <f>IFERROR(D36*365/D$14,"N/A")</f>
        <v>-5.8404338143675731E-2</v>
      </c>
      <c r="E38" s="97">
        <f t="shared" ref="E38:S38" si="20">IFERROR(E36*365/E$14,"N/A")</f>
        <v>-7.6493738143675757E-2</v>
      </c>
      <c r="F38" s="13">
        <f t="shared" si="20"/>
        <v>-7.5971802413885181E-2</v>
      </c>
      <c r="G38" s="13">
        <f t="shared" si="20"/>
        <v>-7.1796316575560876E-2</v>
      </c>
      <c r="H38" s="13">
        <f t="shared" si="20"/>
        <v>-7.4405995224513577E-2</v>
      </c>
      <c r="I38" s="13">
        <f t="shared" si="20"/>
        <v>9.0774897455404898E-3</v>
      </c>
      <c r="J38" s="13">
        <f t="shared" si="20"/>
        <v>9.4017077096153322E-3</v>
      </c>
      <c r="K38" s="13">
        <f t="shared" si="20"/>
        <v>-5.6637692011449582E-3</v>
      </c>
      <c r="L38" s="13">
        <f t="shared" si="20"/>
        <v>1.6972233787066124E-2</v>
      </c>
      <c r="M38" s="13">
        <f t="shared" si="20"/>
        <v>-3.8881254374028763E-2</v>
      </c>
      <c r="N38" s="13">
        <f t="shared" si="20"/>
        <v>5.5164433412317202E-3</v>
      </c>
      <c r="O38" s="13">
        <f t="shared" si="20"/>
        <v>-2.2270558867329327E-3</v>
      </c>
      <c r="P38" s="13">
        <f t="shared" si="20"/>
        <v>-1.9977479041891934E-2</v>
      </c>
      <c r="Q38" s="13">
        <f t="shared" si="20"/>
        <v>-0.13389636307203673</v>
      </c>
      <c r="R38" s="13">
        <f t="shared" si="20"/>
        <v>-8.9798239410850605E-2</v>
      </c>
      <c r="S38" s="14">
        <f t="shared" si="20"/>
        <v>1.7710722728675951E-2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Z53"/>
  <sheetViews>
    <sheetView showGridLines="0" workbookViewId="0">
      <selection activeCell="H41" sqref="H41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9" width="10.5703125" style="6" customWidth="1"/>
    <col min="10" max="10" width="4.5703125" style="6" customWidth="1"/>
    <col min="11" max="26" width="9.140625" hidden="1" customWidth="1"/>
    <col min="27" max="16384" width="9.140625" style="6" hidden="1"/>
  </cols>
  <sheetData>
    <row r="1" spans="2:9" x14ac:dyDescent="0.25"/>
    <row r="2" spans="2:9" ht="21.75" thickBot="1" x14ac:dyDescent="0.3">
      <c r="B2" s="134" t="s">
        <v>79</v>
      </c>
      <c r="C2" s="134"/>
      <c r="D2" s="134"/>
      <c r="F2" s="135" t="s">
        <v>80</v>
      </c>
      <c r="G2" s="134"/>
      <c r="H2" s="134"/>
      <c r="I2" s="134"/>
    </row>
    <row r="3" spans="2:9" ht="16.5" thickBot="1" x14ac:dyDescent="0.3">
      <c r="B3" s="109" t="s">
        <v>21</v>
      </c>
      <c r="C3" s="109" t="s">
        <v>81</v>
      </c>
      <c r="D3" s="109" t="s">
        <v>82</v>
      </c>
      <c r="F3" s="147" t="s">
        <v>21</v>
      </c>
      <c r="G3" s="143" t="s">
        <v>83</v>
      </c>
      <c r="H3" s="144" t="s">
        <v>128</v>
      </c>
      <c r="I3" s="145" t="s">
        <v>129</v>
      </c>
    </row>
    <row r="4" spans="2:9" x14ac:dyDescent="0.25">
      <c r="B4" s="130">
        <v>43926</v>
      </c>
      <c r="C4" s="110" t="s">
        <v>84</v>
      </c>
      <c r="D4" s="127">
        <v>150.97</v>
      </c>
      <c r="F4" s="148">
        <v>44290</v>
      </c>
      <c r="G4" s="141">
        <v>218.23</v>
      </c>
      <c r="H4" s="142">
        <v>2.99</v>
      </c>
      <c r="I4" s="151">
        <f>ProfitTable[[#This Row],[Amount]]-ProfitTable[[#This Row],[Fees]]</f>
        <v>215.23999999999998</v>
      </c>
    </row>
    <row r="5" spans="2:9" x14ac:dyDescent="0.25">
      <c r="B5" s="131">
        <v>44262</v>
      </c>
      <c r="C5" s="111" t="s">
        <v>85</v>
      </c>
      <c r="D5" s="128">
        <v>19.86</v>
      </c>
      <c r="F5" s="149">
        <v>44310</v>
      </c>
      <c r="G5" s="139">
        <v>249.24</v>
      </c>
      <c r="H5" s="138">
        <v>2.99</v>
      </c>
      <c r="I5" s="140">
        <f>ProfitTable[[#This Row],[Amount]]-ProfitTable[[#This Row],[Fees]]</f>
        <v>246.25</v>
      </c>
    </row>
    <row r="6" spans="2:9" x14ac:dyDescent="0.25">
      <c r="B6" s="131">
        <v>44263</v>
      </c>
      <c r="C6" s="111" t="s">
        <v>86</v>
      </c>
      <c r="D6" s="128">
        <v>18.11</v>
      </c>
      <c r="F6" s="149">
        <v>44318</v>
      </c>
      <c r="G6" s="139">
        <v>796.9</v>
      </c>
      <c r="H6" s="138">
        <v>7.97</v>
      </c>
      <c r="I6" s="140">
        <f>ProfitTable[[#This Row],[Amount]]-ProfitTable[[#This Row],[Fees]]</f>
        <v>788.93</v>
      </c>
    </row>
    <row r="7" spans="2:9" x14ac:dyDescent="0.25">
      <c r="B7" s="131">
        <v>44264</v>
      </c>
      <c r="C7" s="111" t="s">
        <v>87</v>
      </c>
      <c r="D7" s="128">
        <v>7.99</v>
      </c>
      <c r="F7" s="149">
        <v>44328</v>
      </c>
      <c r="G7" s="139">
        <v>300</v>
      </c>
      <c r="H7" s="138">
        <v>3</v>
      </c>
      <c r="I7" s="140">
        <f>ProfitTable[[#This Row],[Amount]]-ProfitTable[[#This Row],[Fees]]</f>
        <v>297</v>
      </c>
    </row>
    <row r="8" spans="2:9" x14ac:dyDescent="0.25">
      <c r="B8" s="131">
        <v>44271</v>
      </c>
      <c r="C8" s="111" t="s">
        <v>88</v>
      </c>
      <c r="D8" s="128">
        <v>16.89</v>
      </c>
      <c r="F8" s="149">
        <v>44328</v>
      </c>
      <c r="G8" s="139">
        <v>750</v>
      </c>
      <c r="H8" s="138">
        <v>7.5</v>
      </c>
      <c r="I8" s="140">
        <f>ProfitTable[[#This Row],[Amount]]-ProfitTable[[#This Row],[Fees]]</f>
        <v>742.5</v>
      </c>
    </row>
    <row r="9" spans="2:9" x14ac:dyDescent="0.25">
      <c r="B9" s="131">
        <v>44271</v>
      </c>
      <c r="C9" s="111" t="s">
        <v>89</v>
      </c>
      <c r="D9" s="128">
        <v>60.07</v>
      </c>
      <c r="F9" s="149">
        <v>44333</v>
      </c>
      <c r="G9" s="139">
        <v>371.25</v>
      </c>
      <c r="H9" s="138">
        <v>3.71</v>
      </c>
      <c r="I9" s="140">
        <f>ProfitTable[[#This Row],[Amount]]-ProfitTable[[#This Row],[Fees]]</f>
        <v>367.54</v>
      </c>
    </row>
    <row r="10" spans="2:9" x14ac:dyDescent="0.25">
      <c r="B10" s="131">
        <v>44272</v>
      </c>
      <c r="C10" s="111" t="s">
        <v>90</v>
      </c>
      <c r="D10" s="128">
        <v>889.1</v>
      </c>
      <c r="F10" s="149">
        <v>44339</v>
      </c>
      <c r="G10" s="139">
        <v>293.44</v>
      </c>
      <c r="H10" s="138">
        <v>2.99</v>
      </c>
      <c r="I10" s="140">
        <f>ProfitTable[[#This Row],[Amount]]-ProfitTable[[#This Row],[Fees]]</f>
        <v>290.45</v>
      </c>
    </row>
    <row r="11" spans="2:9" x14ac:dyDescent="0.25">
      <c r="B11" s="131">
        <v>44275</v>
      </c>
      <c r="C11" s="111" t="s">
        <v>87</v>
      </c>
      <c r="D11" s="128">
        <v>15.98</v>
      </c>
      <c r="F11" s="149">
        <v>44358</v>
      </c>
      <c r="G11" s="139">
        <v>309.07</v>
      </c>
      <c r="H11" s="138">
        <v>3.09</v>
      </c>
      <c r="I11" s="140">
        <f>ProfitTable[[#This Row],[Amount]]-ProfitTable[[#This Row],[Fees]]</f>
        <v>305.98</v>
      </c>
    </row>
    <row r="12" spans="2:9" x14ac:dyDescent="0.25">
      <c r="B12" s="131">
        <v>44324</v>
      </c>
      <c r="C12" s="111" t="s">
        <v>91</v>
      </c>
      <c r="D12" s="128">
        <v>50</v>
      </c>
      <c r="F12" s="149">
        <v>44371</v>
      </c>
      <c r="G12" s="139">
        <v>733.41</v>
      </c>
      <c r="H12" s="138">
        <v>7.33</v>
      </c>
      <c r="I12" s="140">
        <f>ProfitTable[[#This Row],[Amount]]-ProfitTable[[#This Row],[Fees]]</f>
        <v>726.07999999999993</v>
      </c>
    </row>
    <row r="13" spans="2:9" x14ac:dyDescent="0.25">
      <c r="B13" s="131">
        <v>44320</v>
      </c>
      <c r="C13" s="111" t="s">
        <v>92</v>
      </c>
      <c r="D13" s="128">
        <v>1034.99</v>
      </c>
      <c r="F13" s="149">
        <v>44381</v>
      </c>
      <c r="G13" s="139">
        <v>308.43</v>
      </c>
      <c r="H13" s="138">
        <v>3.08</v>
      </c>
      <c r="I13" s="140">
        <f>ProfitTable[[#This Row],[Amount]]-ProfitTable[[#This Row],[Fees]]</f>
        <v>305.35000000000002</v>
      </c>
    </row>
    <row r="14" spans="2:9" x14ac:dyDescent="0.25">
      <c r="B14" s="131">
        <v>44320</v>
      </c>
      <c r="C14" s="111" t="s">
        <v>93</v>
      </c>
      <c r="D14" s="128">
        <v>927.88</v>
      </c>
      <c r="F14" s="149">
        <v>44405</v>
      </c>
      <c r="G14" s="139">
        <v>345.6</v>
      </c>
      <c r="H14" s="138">
        <v>3.46</v>
      </c>
      <c r="I14" s="140">
        <f>ProfitTable[[#This Row],[Amount]]-ProfitTable[[#This Row],[Fees]]</f>
        <v>342.14000000000004</v>
      </c>
    </row>
    <row r="15" spans="2:9" x14ac:dyDescent="0.25">
      <c r="B15" s="131">
        <v>44332</v>
      </c>
      <c r="C15" s="111" t="s">
        <v>94</v>
      </c>
      <c r="D15" s="128">
        <v>80</v>
      </c>
      <c r="F15" s="149">
        <v>44413</v>
      </c>
      <c r="G15" s="139">
        <v>300</v>
      </c>
      <c r="H15" s="138">
        <v>3</v>
      </c>
      <c r="I15" s="140">
        <f>ProfitTable[[#This Row],[Amount]]-ProfitTable[[#This Row],[Fees]]</f>
        <v>297</v>
      </c>
    </row>
    <row r="16" spans="2:9" x14ac:dyDescent="0.25">
      <c r="B16" s="131">
        <v>44349</v>
      </c>
      <c r="C16" s="112" t="s">
        <v>95</v>
      </c>
      <c r="D16" s="128">
        <v>56.49</v>
      </c>
      <c r="F16" s="149">
        <v>44418</v>
      </c>
      <c r="G16" s="139">
        <v>314.7</v>
      </c>
      <c r="H16" s="138">
        <v>3.15</v>
      </c>
      <c r="I16" s="140">
        <f>ProfitTable[[#This Row],[Amount]]-ProfitTable[[#This Row],[Fees]]</f>
        <v>311.55</v>
      </c>
    </row>
    <row r="17" spans="2:26" x14ac:dyDescent="0.25">
      <c r="B17" s="131">
        <v>44367</v>
      </c>
      <c r="C17" s="112" t="s">
        <v>96</v>
      </c>
      <c r="D17" s="128">
        <v>50</v>
      </c>
      <c r="F17" s="149">
        <v>44429</v>
      </c>
      <c r="G17" s="139">
        <v>312.01</v>
      </c>
      <c r="H17" s="138">
        <v>3.12</v>
      </c>
      <c r="I17" s="140">
        <f>ProfitTable[[#This Row],[Amount]]-ProfitTable[[#This Row],[Fees]]</f>
        <v>308.89</v>
      </c>
    </row>
    <row r="18" spans="2:26" x14ac:dyDescent="0.25">
      <c r="B18" s="131">
        <v>44362</v>
      </c>
      <c r="C18" s="112" t="s">
        <v>97</v>
      </c>
      <c r="D18" s="128">
        <v>2.48</v>
      </c>
      <c r="F18" s="149">
        <v>44446</v>
      </c>
      <c r="G18" s="139">
        <v>356.76</v>
      </c>
      <c r="H18" s="138">
        <v>3.57</v>
      </c>
      <c r="I18" s="140">
        <f>ProfitTable[[#This Row],[Amount]]-ProfitTable[[#This Row],[Fees]]</f>
        <v>353.19</v>
      </c>
    </row>
    <row r="19" spans="2:26" x14ac:dyDescent="0.25">
      <c r="B19" s="131">
        <v>44366</v>
      </c>
      <c r="C19" s="112" t="s">
        <v>98</v>
      </c>
      <c r="D19" s="128">
        <v>1850</v>
      </c>
      <c r="F19" s="149">
        <v>44454</v>
      </c>
      <c r="G19" s="139">
        <v>300.86</v>
      </c>
      <c r="H19" s="138">
        <v>3.01</v>
      </c>
      <c r="I19" s="140">
        <f>ProfitTable[[#This Row],[Amount]]-ProfitTable[[#This Row],[Fees]]</f>
        <v>297.85000000000002</v>
      </c>
    </row>
    <row r="20" spans="2:26" x14ac:dyDescent="0.25">
      <c r="B20" s="131">
        <v>44368</v>
      </c>
      <c r="C20" s="112" t="s">
        <v>99</v>
      </c>
      <c r="D20" s="128">
        <v>20.95</v>
      </c>
      <c r="F20" s="149">
        <v>44466</v>
      </c>
      <c r="G20" s="139">
        <v>323.88</v>
      </c>
      <c r="H20" s="138">
        <v>3.24</v>
      </c>
      <c r="I20" s="140">
        <f>ProfitTable[[#This Row],[Amount]]-ProfitTable[[#This Row],[Fees]]</f>
        <v>320.64</v>
      </c>
    </row>
    <row r="21" spans="2:26" x14ac:dyDescent="0.25">
      <c r="B21" s="131">
        <v>44368</v>
      </c>
      <c r="C21" s="112" t="s">
        <v>100</v>
      </c>
      <c r="D21" s="128">
        <v>22.95</v>
      </c>
      <c r="F21" s="149">
        <v>44477</v>
      </c>
      <c r="G21" s="139">
        <v>337.44</v>
      </c>
      <c r="H21" s="138">
        <v>3.37</v>
      </c>
      <c r="I21" s="140">
        <f>ProfitTable[[#This Row],[Amount]]-ProfitTable[[#This Row],[Fees]]</f>
        <v>334.07</v>
      </c>
    </row>
    <row r="22" spans="2:26" x14ac:dyDescent="0.25">
      <c r="B22" s="131">
        <v>44368</v>
      </c>
      <c r="C22" s="112" t="s">
        <v>101</v>
      </c>
      <c r="D22" s="128">
        <v>20.25</v>
      </c>
      <c r="F22" s="149">
        <v>44487</v>
      </c>
      <c r="G22" s="139">
        <v>302.73</v>
      </c>
      <c r="H22" s="138">
        <v>3.03</v>
      </c>
      <c r="I22" s="140">
        <f>ProfitTable[[#This Row],[Amount]]-ProfitTable[[#This Row],[Fees]]</f>
        <v>299.70000000000005</v>
      </c>
    </row>
    <row r="23" spans="2:26" x14ac:dyDescent="0.25">
      <c r="B23" s="131">
        <v>44372</v>
      </c>
      <c r="C23" s="111" t="s">
        <v>87</v>
      </c>
      <c r="D23" s="128">
        <v>9.99</v>
      </c>
      <c r="F23" s="149">
        <v>44497</v>
      </c>
      <c r="G23" s="139">
        <v>339.87</v>
      </c>
      <c r="H23" s="138">
        <v>3.4</v>
      </c>
      <c r="I23" s="140">
        <f>ProfitTable[[#This Row],[Amount]]-ProfitTable[[#This Row],[Fees]]</f>
        <v>336.47</v>
      </c>
    </row>
    <row r="24" spans="2:26" x14ac:dyDescent="0.25">
      <c r="B24" s="131">
        <v>44392</v>
      </c>
      <c r="C24" s="111" t="s">
        <v>108</v>
      </c>
      <c r="D24" s="128">
        <v>50</v>
      </c>
      <c r="E24"/>
      <c r="F24" s="149">
        <v>44604</v>
      </c>
      <c r="G24" s="139">
        <v>300</v>
      </c>
      <c r="H24" s="138">
        <v>3</v>
      </c>
      <c r="I24" s="140">
        <f>ProfitTable[[#This Row],[Amount]]-ProfitTable[[#This Row],[Fees]]</f>
        <v>297</v>
      </c>
    </row>
    <row r="25" spans="2:26" x14ac:dyDescent="0.25">
      <c r="B25" s="131">
        <v>44423</v>
      </c>
      <c r="C25" s="111" t="s">
        <v>107</v>
      </c>
      <c r="D25" s="128">
        <v>50</v>
      </c>
      <c r="E25"/>
      <c r="F25" s="149">
        <v>44677</v>
      </c>
      <c r="G25" s="139">
        <v>472.7</v>
      </c>
      <c r="H25" s="138">
        <v>4.7300000000000004</v>
      </c>
      <c r="I25" s="146">
        <f>ProfitTable[[#This Row],[Amount]]-ProfitTable[[#This Row],[Fees]]</f>
        <v>467.96999999999997</v>
      </c>
    </row>
    <row r="26" spans="2:26" ht="15.75" thickBot="1" x14ac:dyDescent="0.3">
      <c r="B26" s="131">
        <v>44433</v>
      </c>
      <c r="C26" s="111" t="s">
        <v>114</v>
      </c>
      <c r="D26" s="128">
        <v>553.92999999999995</v>
      </c>
      <c r="E26"/>
      <c r="F26" s="150" t="s">
        <v>119</v>
      </c>
      <c r="G26" s="152">
        <f>SUBTOTAL(109,ProfitTable[Amount])</f>
        <v>8336.52</v>
      </c>
      <c r="H26" s="153">
        <f>SUBTOTAL(109,ProfitTable[Fees])</f>
        <v>84.73</v>
      </c>
      <c r="I26" s="154">
        <f>SUBTOTAL(109,ProfitTable[Net])</f>
        <v>8251.7900000000009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x14ac:dyDescent="0.25">
      <c r="B27" s="131">
        <v>44433</v>
      </c>
      <c r="C27" s="111" t="s">
        <v>115</v>
      </c>
      <c r="D27" s="128">
        <v>98.27</v>
      </c>
      <c r="E27"/>
      <c r="F27"/>
      <c r="G2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25">
      <c r="B28" s="131">
        <v>44434</v>
      </c>
      <c r="C28" s="111" t="s">
        <v>116</v>
      </c>
      <c r="D28" s="128">
        <v>950</v>
      </c>
      <c r="E28"/>
      <c r="F28"/>
      <c r="G28"/>
    </row>
    <row r="29" spans="2:26" x14ac:dyDescent="0.25">
      <c r="B29" s="131">
        <v>44438</v>
      </c>
      <c r="C29" s="111" t="s">
        <v>117</v>
      </c>
      <c r="D29" s="128">
        <v>25.93</v>
      </c>
      <c r="E29"/>
      <c r="F29"/>
      <c r="G2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25">
      <c r="B30" s="131">
        <v>44443</v>
      </c>
      <c r="C30" s="111" t="s">
        <v>117</v>
      </c>
      <c r="D30" s="128">
        <v>40.67</v>
      </c>
      <c r="E30"/>
      <c r="F30"/>
      <c r="G30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25">
      <c r="B31" s="131">
        <v>44454</v>
      </c>
      <c r="C31" s="111" t="s">
        <v>118</v>
      </c>
      <c r="D31" s="128">
        <v>95</v>
      </c>
      <c r="E31"/>
      <c r="F31"/>
      <c r="G31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25">
      <c r="B32" s="131">
        <v>44483</v>
      </c>
      <c r="C32" s="111" t="s">
        <v>120</v>
      </c>
      <c r="D32" s="128">
        <v>39.119999999999997</v>
      </c>
      <c r="E32"/>
      <c r="F32"/>
      <c r="G32"/>
      <c r="I32" s="13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7" x14ac:dyDescent="0.25">
      <c r="B33" s="131">
        <v>44484</v>
      </c>
      <c r="C33" s="111" t="s">
        <v>121</v>
      </c>
      <c r="D33" s="128">
        <v>95</v>
      </c>
      <c r="E33"/>
      <c r="F33"/>
      <c r="G33"/>
    </row>
    <row r="34" spans="2:7" x14ac:dyDescent="0.25">
      <c r="B34" s="131">
        <v>44545</v>
      </c>
      <c r="C34" s="111" t="s">
        <v>122</v>
      </c>
      <c r="D34" s="128">
        <v>95</v>
      </c>
      <c r="E34"/>
      <c r="F34"/>
    </row>
    <row r="35" spans="2:7" x14ac:dyDescent="0.25">
      <c r="B35" s="131">
        <v>44545</v>
      </c>
      <c r="C35" s="111" t="s">
        <v>123</v>
      </c>
      <c r="D35" s="128">
        <v>95</v>
      </c>
      <c r="E35"/>
      <c r="F35"/>
    </row>
    <row r="36" spans="2:7" x14ac:dyDescent="0.25">
      <c r="B36" s="131">
        <v>44577</v>
      </c>
      <c r="C36" s="111" t="s">
        <v>125</v>
      </c>
      <c r="D36" s="128">
        <v>95</v>
      </c>
      <c r="E36"/>
      <c r="F36"/>
    </row>
    <row r="37" spans="2:7" x14ac:dyDescent="0.25">
      <c r="B37" s="131">
        <v>44624</v>
      </c>
      <c r="C37" s="111" t="s">
        <v>126</v>
      </c>
      <c r="D37" s="128">
        <v>95</v>
      </c>
      <c r="E37"/>
      <c r="F37"/>
    </row>
    <row r="38" spans="2:7" x14ac:dyDescent="0.25">
      <c r="B38" s="131">
        <v>44636</v>
      </c>
      <c r="C38" s="111" t="s">
        <v>127</v>
      </c>
      <c r="D38" s="128">
        <v>95</v>
      </c>
      <c r="E38"/>
    </row>
    <row r="39" spans="2:7" x14ac:dyDescent="0.25">
      <c r="B39" s="131">
        <v>44667</v>
      </c>
      <c r="C39" s="111" t="s">
        <v>130</v>
      </c>
      <c r="D39" s="128">
        <v>95</v>
      </c>
    </row>
    <row r="40" spans="2:7" x14ac:dyDescent="0.25">
      <c r="B40" s="131">
        <v>44712</v>
      </c>
      <c r="C40" s="111" t="s">
        <v>131</v>
      </c>
      <c r="D40" s="128">
        <v>95</v>
      </c>
    </row>
    <row r="41" spans="2:7" x14ac:dyDescent="0.25">
      <c r="B41" s="131">
        <v>44733</v>
      </c>
      <c r="C41" s="111" t="s">
        <v>96</v>
      </c>
      <c r="D41" s="128">
        <v>95</v>
      </c>
    </row>
    <row r="42" spans="2:7" x14ac:dyDescent="0.25">
      <c r="B42" s="129" t="s">
        <v>119</v>
      </c>
      <c r="C42" s="111"/>
      <c r="D42" s="137">
        <f>SUBTOTAL(109,ExpenseTable[Cost])</f>
        <v>8062.87</v>
      </c>
    </row>
    <row r="43" spans="2:7" x14ac:dyDescent="0.25">
      <c r="B43"/>
      <c r="C43" t="s">
        <v>124</v>
      </c>
      <c r="D43" s="136">
        <f>ProfitTable[[#Totals],[Net]]-ExpenseTable[[#Totals],[Cost]]</f>
        <v>188.92000000000098</v>
      </c>
    </row>
    <row r="44" spans="2:7" x14ac:dyDescent="0.25">
      <c r="B44"/>
      <c r="C44"/>
      <c r="D44"/>
    </row>
    <row r="45" spans="2:7" x14ac:dyDescent="0.25">
      <c r="B45"/>
      <c r="C45"/>
      <c r="D45"/>
    </row>
    <row r="46" spans="2:7" x14ac:dyDescent="0.25"/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2022-07-13T19:19:05Z</dcterms:modified>
</cp:coreProperties>
</file>