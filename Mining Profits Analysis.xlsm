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40570673-C500-4485-A824-3735045BB75D}" xr6:coauthVersionLast="47" xr6:coauthVersionMax="47" xr10:uidLastSave="{00000000-0000-0000-0000-000000000000}"/>
  <bookViews>
    <workbookView xWindow="-120" yWindow="-120" windowWidth="38640" windowHeight="21240" activeTab="2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9" l="1"/>
  <c r="C9" i="3"/>
  <c r="L4" i="3"/>
  <c r="F34" i="9"/>
  <c r="E13" i="7"/>
  <c r="D13" i="7"/>
  <c r="C13" i="7"/>
  <c r="H5" i="3"/>
  <c r="H4" i="3"/>
  <c r="D4" i="3"/>
  <c r="L4" i="7"/>
  <c r="H5" i="7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37" i="3"/>
  <c r="C29" i="3"/>
  <c r="J6" i="5"/>
  <c r="I2" i="5"/>
  <c r="I3" i="5"/>
  <c r="E4" i="1"/>
  <c r="F4" i="1" s="1"/>
  <c r="E3" i="1"/>
  <c r="E2" i="1"/>
  <c r="F2" i="1" s="1"/>
  <c r="C36" i="9" l="1"/>
  <c r="L5" i="7"/>
  <c r="P4" i="7" s="1"/>
  <c r="C8" i="7" s="1"/>
  <c r="L5" i="3"/>
  <c r="P4" i="3" s="1"/>
  <c r="C8" i="3" s="1"/>
  <c r="J14" i="7"/>
  <c r="K14" i="7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E14" i="7"/>
  <c r="N11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C18" i="7" l="1"/>
  <c r="C20" i="7" s="1"/>
  <c r="C21" i="7" s="1"/>
  <c r="C23" i="7" s="1"/>
  <c r="D8" i="3"/>
  <c r="Q8" i="7"/>
  <c r="Q27" i="7" s="1"/>
  <c r="Q28" i="7" s="1"/>
  <c r="Q30" i="7" s="1"/>
  <c r="R8" i="7"/>
  <c r="R34" i="7" s="1"/>
  <c r="R35" i="7" s="1"/>
  <c r="R37" i="7" s="1"/>
  <c r="K8" i="7"/>
  <c r="K12" i="7" s="1"/>
  <c r="K16" i="7" s="1"/>
  <c r="N8" i="7"/>
  <c r="L8" i="7"/>
  <c r="L27" i="7" s="1"/>
  <c r="L28" i="7" s="1"/>
  <c r="L30" i="7" s="1"/>
  <c r="C21" i="3"/>
  <c r="G8" i="3"/>
  <c r="G39" i="3" s="1"/>
  <c r="D12" i="3"/>
  <c r="D16" i="3" s="1"/>
  <c r="K8" i="3"/>
  <c r="K31" i="3" s="1"/>
  <c r="N8" i="3"/>
  <c r="N31" i="3" s="1"/>
  <c r="Q8" i="3"/>
  <c r="L8" i="3"/>
  <c r="L39" i="3" s="1"/>
  <c r="O8" i="3"/>
  <c r="O39" i="3" s="1"/>
  <c r="C39" i="3"/>
  <c r="J8" i="7"/>
  <c r="J20" i="7" s="1"/>
  <c r="J21" i="7" s="1"/>
  <c r="J23" i="7" s="1"/>
  <c r="M8" i="7"/>
  <c r="E8" i="7"/>
  <c r="E12" i="7" s="1"/>
  <c r="E16" i="7" s="1"/>
  <c r="D8" i="7"/>
  <c r="D34" i="7" s="1"/>
  <c r="D35" i="7" s="1"/>
  <c r="D37" i="7" s="1"/>
  <c r="I8" i="7"/>
  <c r="I12" i="7" s="1"/>
  <c r="I16" i="7" s="1"/>
  <c r="P8" i="7"/>
  <c r="P12" i="7" s="1"/>
  <c r="P16" i="7" s="1"/>
  <c r="G8" i="7"/>
  <c r="G20" i="7" s="1"/>
  <c r="G21" i="7" s="1"/>
  <c r="G23" i="7" s="1"/>
  <c r="F8" i="7"/>
  <c r="F34" i="7" s="1"/>
  <c r="F35" i="7" s="1"/>
  <c r="F37" i="7" s="1"/>
  <c r="M8" i="3"/>
  <c r="R8" i="3"/>
  <c r="I8" i="3"/>
  <c r="I39" i="3" s="1"/>
  <c r="J8" i="3"/>
  <c r="H8" i="7"/>
  <c r="H27" i="7" s="1"/>
  <c r="H28" i="7" s="1"/>
  <c r="H30" i="7" s="1"/>
  <c r="O8" i="7"/>
  <c r="O12" i="7" s="1"/>
  <c r="O16" i="7" s="1"/>
  <c r="F8" i="3"/>
  <c r="H8" i="3"/>
  <c r="H31" i="3" s="1"/>
  <c r="E8" i="3"/>
  <c r="P8" i="3"/>
  <c r="P31" i="3" s="1"/>
  <c r="Q34" i="7"/>
  <c r="Q35" i="7" s="1"/>
  <c r="Q37" i="7" s="1"/>
  <c r="Q20" i="7"/>
  <c r="Q21" i="7" s="1"/>
  <c r="Q23" i="7" s="1"/>
  <c r="Q12" i="7"/>
  <c r="Q16" i="7" s="1"/>
  <c r="C34" i="7"/>
  <c r="C35" i="7" s="1"/>
  <c r="C37" i="7" s="1"/>
  <c r="C12" i="7"/>
  <c r="C16" i="7" s="1"/>
  <c r="C27" i="7"/>
  <c r="C28" i="7" s="1"/>
  <c r="C30" i="7" s="1"/>
  <c r="R20" i="7"/>
  <c r="R21" i="7" s="1"/>
  <c r="R23" i="7" s="1"/>
  <c r="R12" i="7"/>
  <c r="R16" i="7" s="1"/>
  <c r="K34" i="7"/>
  <c r="K35" i="7" s="1"/>
  <c r="K37" i="7" s="1"/>
  <c r="K27" i="7"/>
  <c r="K28" i="7" s="1"/>
  <c r="K30" i="7" s="1"/>
  <c r="P11" i="3"/>
  <c r="H11" i="3"/>
  <c r="K11" i="3"/>
  <c r="N11" i="3"/>
  <c r="J11" i="3"/>
  <c r="M11" i="3"/>
  <c r="E11" i="3"/>
  <c r="C11" i="3"/>
  <c r="O11" i="3"/>
  <c r="I11" i="3"/>
  <c r="G11" i="3"/>
  <c r="R11" i="3"/>
  <c r="F11" i="3"/>
  <c r="L11" i="3"/>
  <c r="M20" i="7" l="1"/>
  <c r="M21" i="7" s="1"/>
  <c r="M23" i="7" s="1"/>
  <c r="N20" i="7"/>
  <c r="N21" i="7" s="1"/>
  <c r="N23" i="7" s="1"/>
  <c r="N34" i="7"/>
  <c r="N35" i="7" s="1"/>
  <c r="N37" i="7" s="1"/>
  <c r="N12" i="7"/>
  <c r="N16" i="7" s="1"/>
  <c r="N27" i="7"/>
  <c r="N28" i="7" s="1"/>
  <c r="N30" i="7" s="1"/>
  <c r="K20" i="7"/>
  <c r="K21" i="7" s="1"/>
  <c r="K23" i="7" s="1"/>
  <c r="L12" i="7"/>
  <c r="L16" i="7" s="1"/>
  <c r="L34" i="7"/>
  <c r="L35" i="7" s="1"/>
  <c r="L37" i="7" s="1"/>
  <c r="R27" i="7"/>
  <c r="R28" i="7" s="1"/>
  <c r="R30" i="7" s="1"/>
  <c r="G12" i="3"/>
  <c r="G16" i="3" s="1"/>
  <c r="I34" i="7"/>
  <c r="I35" i="7" s="1"/>
  <c r="I37" i="7" s="1"/>
  <c r="G34" i="7"/>
  <c r="G35" i="7" s="1"/>
  <c r="G37" i="7" s="1"/>
  <c r="G27" i="7"/>
  <c r="G28" i="7" s="1"/>
  <c r="G30" i="7" s="1"/>
  <c r="G12" i="7"/>
  <c r="G16" i="7" s="1"/>
  <c r="Q23" i="3"/>
  <c r="Q24" i="3" s="1"/>
  <c r="L20" i="7"/>
  <c r="L21" i="7" s="1"/>
  <c r="L23" i="7" s="1"/>
  <c r="K12" i="3"/>
  <c r="E23" i="3"/>
  <c r="E24" i="3" s="1"/>
  <c r="E26" i="3" s="1"/>
  <c r="R23" i="3"/>
  <c r="R24" i="3" s="1"/>
  <c r="R26" i="3" s="1"/>
  <c r="M23" i="3"/>
  <c r="M24" i="3" s="1"/>
  <c r="M25" i="3" s="1"/>
  <c r="K39" i="3"/>
  <c r="K40" i="3" s="1"/>
  <c r="K42" i="3" s="1"/>
  <c r="F23" i="3"/>
  <c r="F24" i="3" s="1"/>
  <c r="F25" i="3" s="1"/>
  <c r="I27" i="7"/>
  <c r="I28" i="7" s="1"/>
  <c r="I30" i="7" s="1"/>
  <c r="K23" i="3"/>
  <c r="K24" i="3" s="1"/>
  <c r="D12" i="7"/>
  <c r="D16" i="7" s="1"/>
  <c r="J23" i="3"/>
  <c r="J24" i="3" s="1"/>
  <c r="D20" i="7"/>
  <c r="D21" i="7" s="1"/>
  <c r="D23" i="7" s="1"/>
  <c r="D27" i="7"/>
  <c r="D28" i="7" s="1"/>
  <c r="D30" i="7" s="1"/>
  <c r="G23" i="3"/>
  <c r="G24" i="3" s="1"/>
  <c r="G26" i="3" s="1"/>
  <c r="G31" i="3"/>
  <c r="G32" i="3" s="1"/>
  <c r="O23" i="3"/>
  <c r="O24" i="3" s="1"/>
  <c r="Q31" i="3"/>
  <c r="Q32" i="3" s="1"/>
  <c r="N23" i="3"/>
  <c r="N24" i="3" s="1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24" i="3" s="1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M40" i="3" s="1"/>
  <c r="M42" i="3" s="1"/>
  <c r="J39" i="3"/>
  <c r="J40" i="3" s="1"/>
  <c r="N32" i="3"/>
  <c r="N34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Q15" i="7"/>
  <c r="C15" i="7"/>
  <c r="N36" i="7"/>
  <c r="P15" i="7"/>
  <c r="N15" i="7"/>
  <c r="I15" i="7"/>
  <c r="Q22" i="7"/>
  <c r="O15" i="7"/>
  <c r="Q36" i="7"/>
  <c r="J22" i="7"/>
  <c r="Q29" i="7"/>
  <c r="K29" i="7"/>
  <c r="M22" i="7"/>
  <c r="E15" i="7"/>
  <c r="L15" i="7"/>
  <c r="C29" i="7"/>
  <c r="R15" i="7"/>
  <c r="R22" i="7"/>
  <c r="F36" i="7"/>
  <c r="N29" i="7"/>
  <c r="K36" i="7"/>
  <c r="C22" i="7"/>
  <c r="N22" i="7"/>
  <c r="K15" i="7"/>
  <c r="D36" i="7"/>
  <c r="G22" i="7"/>
  <c r="L29" i="7"/>
  <c r="G40" i="3"/>
  <c r="G42" i="3" s="1"/>
  <c r="R12" i="3"/>
  <c r="R16" i="3" s="1"/>
  <c r="P32" i="3"/>
  <c r="P34" i="3" s="1"/>
  <c r="Q12" i="3"/>
  <c r="Q16" i="3" s="1"/>
  <c r="P12" i="3"/>
  <c r="P16" i="3" s="1"/>
  <c r="N12" i="3"/>
  <c r="N16" i="3" s="1"/>
  <c r="O40" i="3"/>
  <c r="O42" i="3" s="1"/>
  <c r="H32" i="3"/>
  <c r="H34" i="3" s="1"/>
  <c r="I12" i="3"/>
  <c r="M12" i="3"/>
  <c r="L40" i="3"/>
  <c r="F12" i="3"/>
  <c r="O12" i="3"/>
  <c r="O16" i="3" s="1"/>
  <c r="K32" i="3"/>
  <c r="C12" i="3"/>
  <c r="C16" i="3" s="1"/>
  <c r="C40" i="3"/>
  <c r="C42" i="3" s="1"/>
  <c r="E12" i="3"/>
  <c r="E16" i="3" s="1"/>
  <c r="K22" i="7" l="1"/>
  <c r="L36" i="7"/>
  <c r="K16" i="3"/>
  <c r="K15" i="3"/>
  <c r="G29" i="7"/>
  <c r="I36" i="7"/>
  <c r="R29" i="7"/>
  <c r="G15" i="3"/>
  <c r="G36" i="7"/>
  <c r="G15" i="7"/>
  <c r="L22" i="7"/>
  <c r="D29" i="7"/>
  <c r="D22" i="7"/>
  <c r="E29" i="7"/>
  <c r="M15" i="7"/>
  <c r="I29" i="7"/>
  <c r="J29" i="7"/>
  <c r="D15" i="7"/>
  <c r="E22" i="7"/>
  <c r="D41" i="3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<sst xmlns="http://schemas.openxmlformats.org/spreadsheetml/2006/main" count="2296" uniqueCount="120">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</sst>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4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5" fontId="0" fillId="0" borderId="0" xfId="0" applyNumberFormat="1" applyBorder="1"/>
    <xf numFmtId="0" fontId="0" fillId="0" borderId="0" xfId="0" applyBorder="1"/>
    <xf numFmtId="44" fontId="0" fillId="0" borderId="0" xfId="6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zoomScaleNormal="100" workbookViewId="0">
      <selection activeCell="P6" sqref="P6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29">
        <v>44450</v>
      </c>
      <c r="C2" s="130"/>
    </row>
    <row r="3" spans="1:23" ht="15.75" thickBot="1" x14ac:dyDescent="0.3">
      <c r="D3" s="1"/>
      <c r="H3" s="1"/>
    </row>
    <row r="4" spans="1:23" ht="15.75" thickBot="1" x14ac:dyDescent="0.3">
      <c r="A4" s="135" t="s">
        <v>46</v>
      </c>
      <c r="B4" s="136"/>
      <c r="C4" s="58">
        <v>695.99400000000003</v>
      </c>
      <c r="D4" s="1"/>
      <c r="H4" s="1"/>
    </row>
    <row r="5" spans="1:23" ht="15.75" thickBot="1" x14ac:dyDescent="0.3">
      <c r="A5" s="131" t="s">
        <v>115</v>
      </c>
      <c r="B5" s="132"/>
      <c r="C5" s="57">
        <v>4120.84</v>
      </c>
    </row>
    <row r="6" spans="1:23" s="6" customFormat="1" ht="15.75" thickBot="1" x14ac:dyDescent="0.3">
      <c r="A6" s="131" t="s">
        <v>111</v>
      </c>
      <c r="B6" s="132"/>
      <c r="C6" s="57">
        <v>13788</v>
      </c>
    </row>
    <row r="7" spans="1:23" s="6" customFormat="1" ht="15.75" thickBot="1" x14ac:dyDescent="0.3">
      <c r="A7" s="133" t="s">
        <v>114</v>
      </c>
      <c r="B7" s="134"/>
      <c r="C7" s="57">
        <v>6396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103</v>
      </c>
      <c r="Q9" s="100">
        <v>3070</v>
      </c>
      <c r="R9" s="100" t="s">
        <v>104</v>
      </c>
      <c r="S9" s="100" t="s">
        <v>107</v>
      </c>
      <c r="T9" s="100">
        <v>3080</v>
      </c>
      <c r="U9" s="122" t="s">
        <v>105</v>
      </c>
      <c r="V9" s="122" t="s">
        <v>106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23"/>
      <c r="V10" s="123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4"/>
      <c r="V11" s="124">
        <v>240</v>
      </c>
      <c r="W11" s="63">
        <v>285</v>
      </c>
    </row>
    <row r="12" spans="1:23" ht="16.5" thickBot="1" x14ac:dyDescent="0.3">
      <c r="A12" s="103" t="s">
        <v>62</v>
      </c>
      <c r="B12" s="104">
        <v>530</v>
      </c>
      <c r="C12" s="104">
        <v>550</v>
      </c>
      <c r="D12" s="104">
        <v>550</v>
      </c>
      <c r="E12" s="104">
        <v>850</v>
      </c>
      <c r="F12" s="104">
        <v>650</v>
      </c>
      <c r="G12" s="104">
        <v>750</v>
      </c>
      <c r="H12" s="104">
        <v>850</v>
      </c>
      <c r="I12" s="104">
        <v>900</v>
      </c>
      <c r="J12" s="104">
        <v>950</v>
      </c>
      <c r="K12" s="104">
        <v>950</v>
      </c>
      <c r="L12" s="104">
        <v>1100</v>
      </c>
      <c r="M12" s="104">
        <v>1200</v>
      </c>
      <c r="N12" s="104">
        <v>850</v>
      </c>
      <c r="O12" s="104">
        <v>1500</v>
      </c>
      <c r="P12" s="104">
        <v>1050</v>
      </c>
      <c r="Q12" s="104">
        <v>1750</v>
      </c>
      <c r="R12" s="104"/>
      <c r="S12" s="104">
        <v>1500</v>
      </c>
      <c r="T12" s="104">
        <v>2350</v>
      </c>
      <c r="U12" s="125"/>
      <c r="V12" s="125">
        <v>2250</v>
      </c>
      <c r="W12" s="65">
        <v>3500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I29" sqref="I29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37" t="s">
        <v>78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</row>
    <row r="2" spans="1:30" s="6" customFormat="1" x14ac:dyDescent="0.25">
      <c r="A2" s="155" t="s">
        <v>44</v>
      </c>
      <c r="B2" s="155"/>
      <c r="C2" s="129">
        <f>'Card Data'!$B$2</f>
        <v>44450</v>
      </c>
      <c r="D2" s="130"/>
      <c r="E2"/>
      <c r="O2" s="154" t="s">
        <v>49</v>
      </c>
      <c r="P2" s="154"/>
      <c r="Q2" s="154"/>
      <c r="R2" s="154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41" t="s">
        <v>32</v>
      </c>
      <c r="B4" s="150" t="s">
        <v>56</v>
      </c>
      <c r="C4" s="151"/>
      <c r="D4" s="59">
        <f>'Electricity Calculations'!$F$5</f>
        <v>10.324999999999999</v>
      </c>
      <c r="E4" s="1"/>
      <c r="F4" s="150" t="s">
        <v>50</v>
      </c>
      <c r="G4" s="151"/>
      <c r="H4" s="57">
        <f>'Card Data'!$C$5</f>
        <v>4120.84</v>
      </c>
      <c r="I4" s="1"/>
      <c r="J4" s="150" t="s">
        <v>113</v>
      </c>
      <c r="K4" s="151"/>
      <c r="L4" s="57">
        <f>'Card Data'!$C$7</f>
        <v>6396</v>
      </c>
      <c r="N4" s="135" t="s">
        <v>48</v>
      </c>
      <c r="O4" s="136"/>
      <c r="P4" s="152">
        <f>$L$4*$L$5*$H$4/$D$5/10000</f>
        <v>8.1635965137630517</v>
      </c>
    </row>
    <row r="5" spans="1:30" s="6" customFormat="1" ht="15.75" thickBot="1" x14ac:dyDescent="0.3">
      <c r="A5" s="142"/>
      <c r="B5" s="150" t="s">
        <v>46</v>
      </c>
      <c r="C5" s="151"/>
      <c r="D5" s="58">
        <f>'Card Data'!$C$4</f>
        <v>695.99400000000003</v>
      </c>
      <c r="E5" s="1"/>
      <c r="F5" s="150" t="s">
        <v>112</v>
      </c>
      <c r="G5" s="151"/>
      <c r="H5" s="57">
        <f>'Card Data'!$C$6</f>
        <v>13788</v>
      </c>
      <c r="I5" s="1"/>
      <c r="J5" s="150" t="s">
        <v>39</v>
      </c>
      <c r="K5" s="151"/>
      <c r="L5" s="59">
        <f>$H$5/$L$4</f>
        <v>2.1557223264540339</v>
      </c>
      <c r="N5" s="156"/>
      <c r="O5" s="157"/>
      <c r="P5" s="153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42"/>
      <c r="V6"/>
      <c r="W6"/>
      <c r="X6"/>
      <c r="Y6"/>
      <c r="Z6"/>
      <c r="AA6"/>
      <c r="AB6"/>
      <c r="AC6"/>
      <c r="AD6"/>
    </row>
    <row r="7" spans="1:30" ht="15.75" thickBot="1" x14ac:dyDescent="0.3">
      <c r="A7" s="142"/>
      <c r="B7" s="7" t="s">
        <v>0</v>
      </c>
      <c r="C7" s="9">
        <v>1070</v>
      </c>
      <c r="D7" s="82" t="s">
        <v>74</v>
      </c>
      <c r="E7" s="10">
        <v>1080</v>
      </c>
      <c r="F7" s="10" t="s">
        <v>11</v>
      </c>
      <c r="G7" s="10" t="s">
        <v>45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60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42"/>
      <c r="B8" s="26" t="s">
        <v>51</v>
      </c>
      <c r="C8" s="61">
        <f>$P$4*C9/100</f>
        <v>2.4490789541289155</v>
      </c>
      <c r="D8" s="83">
        <f>$P$4*D9/100</f>
        <v>2.6041872878904133</v>
      </c>
      <c r="E8" s="27">
        <f t="shared" ref="E8:R8" si="0">$P$4*E9/100</f>
        <v>2.7756228146794375</v>
      </c>
      <c r="F8" s="27">
        <f t="shared" si="0"/>
        <v>3.7552543963310039</v>
      </c>
      <c r="G8" s="27">
        <f t="shared" si="0"/>
        <v>2.4490789541289155</v>
      </c>
      <c r="H8" s="27">
        <f t="shared" si="0"/>
        <v>2.6123508844041767</v>
      </c>
      <c r="I8" s="27">
        <f t="shared" si="0"/>
        <v>3.4491195270648891</v>
      </c>
      <c r="J8" s="27">
        <f t="shared" si="0"/>
        <v>3.5919824660557431</v>
      </c>
      <c r="K8" s="27">
        <f t="shared" si="0"/>
        <v>3.5103465009181121</v>
      </c>
      <c r="L8" s="27">
        <f t="shared" si="0"/>
        <v>3.5103465009181121</v>
      </c>
      <c r="M8" s="27">
        <f t="shared" si="0"/>
        <v>3.4450377288080078</v>
      </c>
      <c r="N8" s="27">
        <f t="shared" si="0"/>
        <v>4.8328491361477264</v>
      </c>
      <c r="O8" s="27">
        <f t="shared" si="0"/>
        <v>4.9389758908266463</v>
      </c>
      <c r="P8" s="27">
        <f t="shared" si="0"/>
        <v>4.9438740487349042</v>
      </c>
      <c r="Q8" s="27">
        <f t="shared" si="0"/>
        <v>7.5921447577996375</v>
      </c>
      <c r="R8" s="28">
        <f t="shared" si="0"/>
        <v>9.7963158165156621</v>
      </c>
      <c r="S8" s="2"/>
    </row>
    <row r="9" spans="1:30" x14ac:dyDescent="0.25">
      <c r="A9" s="142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34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93</v>
      </c>
      <c r="R9" s="80">
        <f>INDEX('Card Data'!$10:$10,MATCH('Nvidia Analysis'!R$7,'Card Data'!$9:$9,0))</f>
        <v>120</v>
      </c>
      <c r="T9" s="2"/>
    </row>
    <row r="10" spans="1:30" x14ac:dyDescent="0.25">
      <c r="A10" s="142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170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42"/>
      <c r="B11" s="15" t="s">
        <v>55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0.42125999999999997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42"/>
      <c r="B12" s="29" t="s">
        <v>52</v>
      </c>
      <c r="C12" s="33">
        <f t="shared" ref="C12:R12" si="2">C8-C11</f>
        <v>2.1517189541289157</v>
      </c>
      <c r="D12" s="87">
        <f t="shared" ref="D12" si="3">D8-D11</f>
        <v>2.2696572878904133</v>
      </c>
      <c r="E12" s="34">
        <f t="shared" si="2"/>
        <v>2.3543628146794378</v>
      </c>
      <c r="F12" s="34">
        <f t="shared" si="2"/>
        <v>3.1605343963310037</v>
      </c>
      <c r="G12" s="34">
        <f t="shared" ref="G12" si="4">G8-G11</f>
        <v>2.2260589541289155</v>
      </c>
      <c r="H12" s="34">
        <f>H8-H11</f>
        <v>2.3893308844041767</v>
      </c>
      <c r="I12" s="34">
        <f t="shared" si="2"/>
        <v>3.1765395270648891</v>
      </c>
      <c r="J12" s="34">
        <f t="shared" si="2"/>
        <v>3.2946224660557433</v>
      </c>
      <c r="K12" s="34">
        <f t="shared" si="2"/>
        <v>3.2005965009181123</v>
      </c>
      <c r="L12" s="34">
        <f t="shared" si="2"/>
        <v>3.242722500918112</v>
      </c>
      <c r="M12" s="34">
        <f t="shared" si="2"/>
        <v>3.098117728808008</v>
      </c>
      <c r="N12" s="34">
        <f t="shared" si="2"/>
        <v>4.2629091361477265</v>
      </c>
      <c r="O12" s="34">
        <f t="shared" si="2"/>
        <v>4.6416158908266461</v>
      </c>
      <c r="P12" s="34">
        <f t="shared" si="2"/>
        <v>4.6465140487349039</v>
      </c>
      <c r="Q12" s="34">
        <f t="shared" si="2"/>
        <v>6.9478647577996373</v>
      </c>
      <c r="R12" s="35">
        <f t="shared" si="2"/>
        <v>9.0900858165156624</v>
      </c>
    </row>
    <row r="13" spans="1:30" ht="17.25" x14ac:dyDescent="0.25">
      <c r="A13" s="142"/>
      <c r="B13" s="15" t="s">
        <v>53</v>
      </c>
      <c r="C13" s="19">
        <f>INDEX('Card Data'!$12:$12,MATCH('Nvidia Analysis'!C$7,'Card Data'!$9:$9,0))</f>
        <v>530</v>
      </c>
      <c r="D13" s="88">
        <f>INDEX('Card Data'!$12:$12,MATCH('Nvidia Analysis'!D$7,'Card Data'!$9:$9,0))</f>
        <v>550</v>
      </c>
      <c r="E13" s="20">
        <f>INDEX('Card Data'!$12:$12,MATCH('Nvidia Analysis'!E$7,'Card Data'!$9:$9,0))</f>
        <v>550</v>
      </c>
      <c r="F13" s="20">
        <f>INDEX('Card Data'!$12:$12,MATCH('Nvidia Analysis'!F$7,'Card Data'!$9:$9,0))</f>
        <v>850</v>
      </c>
      <c r="G13" s="20">
        <f>INDEX('Card Data'!$12:$12,MATCH('Nvidia Analysis'!G$7,'Card Data'!$9:$9,0))</f>
        <v>650</v>
      </c>
      <c r="H13" s="20">
        <f>INDEX('Card Data'!$12:$12,MATCH('Nvidia Analysis'!H$7,'Card Data'!$9:$9,0))</f>
        <v>750</v>
      </c>
      <c r="I13" s="20">
        <f>INDEX('Card Data'!$12:$12,MATCH('Nvidia Analysis'!I$7,'Card Data'!$9:$9,0))</f>
        <v>850</v>
      </c>
      <c r="J13" s="20">
        <f>INDEX('Card Data'!$12:$12,MATCH('Nvidia Analysis'!J$7,'Card Data'!$9:$9,0))</f>
        <v>900</v>
      </c>
      <c r="K13" s="20">
        <f>INDEX('Card Data'!$12:$12,MATCH('Nvidia Analysis'!K$7,'Card Data'!$9:$9,0))</f>
        <v>950</v>
      </c>
      <c r="L13" s="20">
        <f>INDEX('Card Data'!$12:$12,MATCH('Nvidia Analysis'!L$7,'Card Data'!$9:$9,0))</f>
        <v>950</v>
      </c>
      <c r="M13" s="20">
        <f>INDEX('Card Data'!$12:$12,MATCH('Nvidia Analysis'!M$7,'Card Data'!$9:$9,0))</f>
        <v>1100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1500</v>
      </c>
      <c r="P13" s="20">
        <f>INDEX('Card Data'!$12:$12,MATCH('Nvidia Analysis'!P$7,'Card Data'!$9:$9,0))</f>
        <v>1750</v>
      </c>
      <c r="Q13" s="20">
        <f>INDEX('Card Data'!$12:$12,MATCH('Nvidia Analysis'!Q$7,'Card Data'!$9:$9,0))</f>
        <v>2350</v>
      </c>
      <c r="R13" s="21">
        <f>INDEX('Card Data'!$12:$12,MATCH('Nvidia Analysis'!R$7,'Card Data'!$9:$9,0))</f>
        <v>3500</v>
      </c>
    </row>
    <row r="14" spans="1:30" x14ac:dyDescent="0.25">
      <c r="A14" s="142"/>
      <c r="B14" s="29" t="s">
        <v>59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200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357.69230769230768</v>
      </c>
      <c r="R14" s="77">
        <f t="shared" si="5"/>
        <v>421.05263157894734</v>
      </c>
    </row>
    <row r="15" spans="1:30" x14ac:dyDescent="0.25">
      <c r="A15" s="142"/>
      <c r="B15" s="15" t="s">
        <v>54</v>
      </c>
      <c r="C15" s="39">
        <f t="shared" ref="C15:D15" si="6">C13/C12</f>
        <v>246.31469597039492</v>
      </c>
      <c r="D15" s="90">
        <f t="shared" si="6"/>
        <v>242.32733414620958</v>
      </c>
      <c r="E15" s="40">
        <f t="shared" ref="E15:R15" si="7">E13/E12</f>
        <v>233.60885440882493</v>
      </c>
      <c r="F15" s="40">
        <f t="shared" si="7"/>
        <v>268.94186027108157</v>
      </c>
      <c r="G15" s="40">
        <f t="shared" ref="G15" si="8">G13/G12</f>
        <v>291.99586057430048</v>
      </c>
      <c r="H15" s="40">
        <f t="shared" si="7"/>
        <v>313.8954110104454</v>
      </c>
      <c r="I15" s="40">
        <f t="shared" si="7"/>
        <v>267.58678516599377</v>
      </c>
      <c r="J15" s="40">
        <f t="shared" si="7"/>
        <v>273.17242241641793</v>
      </c>
      <c r="K15" s="40">
        <f>K13/K12</f>
        <v>296.81967087306577</v>
      </c>
      <c r="L15" s="40">
        <f t="shared" si="7"/>
        <v>292.96370556870858</v>
      </c>
      <c r="M15" s="40">
        <f t="shared" si="7"/>
        <v>355.05429305400281</v>
      </c>
      <c r="N15" s="40">
        <f t="shared" si="7"/>
        <v>281.49790710397525</v>
      </c>
      <c r="O15" s="40">
        <f t="shared" si="7"/>
        <v>323.16331968883759</v>
      </c>
      <c r="P15" s="40">
        <f t="shared" si="7"/>
        <v>376.62643040463178</v>
      </c>
      <c r="Q15" s="40">
        <f t="shared" si="7"/>
        <v>338.23341154732498</v>
      </c>
      <c r="R15" s="41">
        <f t="shared" si="7"/>
        <v>385.03486882828918</v>
      </c>
    </row>
    <row r="16" spans="1:30" ht="18" thickBot="1" x14ac:dyDescent="0.3">
      <c r="A16" s="142"/>
      <c r="B16" s="8" t="s">
        <v>40</v>
      </c>
      <c r="C16" s="36">
        <f>IFERROR(C12*365/C13,"N/A")</f>
        <v>1.4818441853906685</v>
      </c>
      <c r="D16" s="91">
        <f t="shared" ref="D16:R16" si="9">IFERROR(D12*365/D13,"N/A")</f>
        <v>1.506227109236365</v>
      </c>
      <c r="E16" s="37">
        <f t="shared" si="9"/>
        <v>1.5624407770145359</v>
      </c>
      <c r="F16" s="37">
        <f t="shared" si="9"/>
        <v>1.357170652542137</v>
      </c>
      <c r="G16" s="37">
        <f t="shared" si="9"/>
        <v>1.2500177203954679</v>
      </c>
      <c r="H16" s="37">
        <f t="shared" si="9"/>
        <v>1.1628076970766994</v>
      </c>
      <c r="I16" s="37">
        <f t="shared" si="9"/>
        <v>1.3640434439749229</v>
      </c>
      <c r="J16" s="37">
        <f t="shared" si="9"/>
        <v>1.3361524445670514</v>
      </c>
      <c r="K16" s="37">
        <f t="shared" si="9"/>
        <v>1.2297028661422222</v>
      </c>
      <c r="L16" s="37">
        <f t="shared" si="9"/>
        <v>1.2458881187738009</v>
      </c>
      <c r="M16" s="37">
        <f t="shared" si="9"/>
        <v>1.028011791831748</v>
      </c>
      <c r="N16" s="37">
        <f t="shared" si="9"/>
        <v>1.2966348622449333</v>
      </c>
      <c r="O16" s="37">
        <f t="shared" si="9"/>
        <v>1.1294598667678173</v>
      </c>
      <c r="P16" s="37">
        <f t="shared" si="9"/>
        <v>0.96913007302185139</v>
      </c>
      <c r="Q16" s="37">
        <f t="shared" si="9"/>
        <v>1.0791364411050501</v>
      </c>
      <c r="R16" s="38">
        <f t="shared" si="9"/>
        <v>0.94796609229377615</v>
      </c>
    </row>
    <row r="17" spans="1:30" s="6" customFormat="1" x14ac:dyDescent="0.25">
      <c r="A17" s="142"/>
      <c r="B17" s="138" t="s">
        <v>41</v>
      </c>
      <c r="C17" s="139"/>
      <c r="D17" s="139"/>
      <c r="E17" s="139"/>
      <c r="F17" s="139"/>
      <c r="G17" s="139"/>
      <c r="H17" s="139"/>
      <c r="I17" s="139"/>
      <c r="J17" s="139"/>
      <c r="K17" s="139"/>
      <c r="L17" s="139"/>
      <c r="M17" s="139"/>
      <c r="N17" s="139"/>
      <c r="O17" s="139"/>
      <c r="P17" s="139"/>
      <c r="Q17" s="139"/>
      <c r="R17" s="140"/>
      <c r="V17"/>
      <c r="W17"/>
      <c r="X17"/>
      <c r="Y17"/>
      <c r="Z17"/>
      <c r="AA17"/>
      <c r="AB17"/>
      <c r="AC17"/>
      <c r="AD17"/>
    </row>
    <row r="18" spans="1:30" ht="15.75" x14ac:dyDescent="0.25">
      <c r="A18" s="142"/>
      <c r="B18" s="144" t="s">
        <v>43</v>
      </c>
      <c r="C18" s="145"/>
      <c r="D18" s="145"/>
      <c r="E18" s="14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6"/>
    </row>
    <row r="19" spans="1:30" ht="16.5" thickBot="1" x14ac:dyDescent="0.3">
      <c r="A19" s="143"/>
      <c r="B19" s="147" t="s">
        <v>42</v>
      </c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9"/>
    </row>
    <row r="20" spans="1:30" ht="15.75" thickBot="1" x14ac:dyDescent="0.3"/>
    <row r="21" spans="1:30" ht="15.75" thickBot="1" x14ac:dyDescent="0.3">
      <c r="A21" s="141" t="s">
        <v>18</v>
      </c>
      <c r="B21" s="108" t="s">
        <v>33</v>
      </c>
      <c r="C21" s="60">
        <f>1-2/$L$5</f>
        <v>7.2236727589208072E-2</v>
      </c>
      <c r="D21" s="92"/>
    </row>
    <row r="22" spans="1:30" ht="15.75" customHeight="1" thickBot="1" x14ac:dyDescent="0.3">
      <c r="A22" s="142"/>
      <c r="B22" s="3" t="s">
        <v>0</v>
      </c>
      <c r="C22" s="23">
        <f>C$7</f>
        <v>1070</v>
      </c>
      <c r="D22" s="82" t="s">
        <v>74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42"/>
      <c r="B23" s="42" t="s">
        <v>35</v>
      </c>
      <c r="C23" s="43">
        <f t="shared" ref="C23:R23" si="11">C$8*(1-$C$21)</f>
        <v>2.2721655048750424</v>
      </c>
      <c r="D23" s="93">
        <f t="shared" si="11"/>
        <v>2.4160693201837948</v>
      </c>
      <c r="E23" s="44">
        <f t="shared" si="11"/>
        <v>2.5751209055250479</v>
      </c>
      <c r="F23" s="44">
        <f t="shared" si="11"/>
        <v>3.4839871074750652</v>
      </c>
      <c r="G23" s="44">
        <f t="shared" si="11"/>
        <v>2.2721655048750424</v>
      </c>
      <c r="H23" s="44">
        <f t="shared" si="11"/>
        <v>2.4236432052000456</v>
      </c>
      <c r="I23" s="44">
        <f t="shared" si="11"/>
        <v>3.1999664193656847</v>
      </c>
      <c r="J23" s="44">
        <f t="shared" si="11"/>
        <v>3.3325094071500625</v>
      </c>
      <c r="K23" s="44">
        <f t="shared" si="11"/>
        <v>3.2567705569875605</v>
      </c>
      <c r="L23" s="44">
        <f t="shared" si="11"/>
        <v>3.2567705569875605</v>
      </c>
      <c r="M23" s="44">
        <f t="shared" si="11"/>
        <v>3.1961794768575595</v>
      </c>
      <c r="N23" s="44">
        <f t="shared" si="11"/>
        <v>4.4837399296200839</v>
      </c>
      <c r="O23" s="44">
        <f t="shared" si="11"/>
        <v>4.5822004348313357</v>
      </c>
      <c r="P23" s="44">
        <f t="shared" si="11"/>
        <v>4.586744765841086</v>
      </c>
      <c r="Q23" s="44">
        <f t="shared" si="11"/>
        <v>7.0437130651126312</v>
      </c>
      <c r="R23" s="45">
        <f t="shared" si="11"/>
        <v>9.0886620195001697</v>
      </c>
    </row>
    <row r="24" spans="1:30" x14ac:dyDescent="0.25">
      <c r="A24" s="142"/>
      <c r="B24" s="22" t="s">
        <v>17</v>
      </c>
      <c r="C24" s="50">
        <f t="shared" ref="C24:R24" si="12">C23-C$11</f>
        <v>1.9748055048750426</v>
      </c>
      <c r="D24" s="94">
        <f t="shared" ref="D24" si="13">D23-D$11</f>
        <v>2.0815393201837948</v>
      </c>
      <c r="E24" s="51">
        <f t="shared" si="12"/>
        <v>2.1538609055250477</v>
      </c>
      <c r="F24" s="51">
        <f t="shared" si="12"/>
        <v>2.8892671074750655</v>
      </c>
      <c r="G24" s="51">
        <f t="shared" ref="G24" si="14">G23-G$11</f>
        <v>2.0491455048750424</v>
      </c>
      <c r="H24" s="51">
        <f t="shared" si="12"/>
        <v>2.2006232052000456</v>
      </c>
      <c r="I24" s="51">
        <f t="shared" si="12"/>
        <v>2.9273864193656847</v>
      </c>
      <c r="J24" s="51">
        <f t="shared" si="12"/>
        <v>3.0351494071500627</v>
      </c>
      <c r="K24" s="51">
        <f t="shared" si="12"/>
        <v>2.9470205569875603</v>
      </c>
      <c r="L24" s="51">
        <f t="shared" si="12"/>
        <v>2.9891465569875604</v>
      </c>
      <c r="M24" s="51">
        <f t="shared" si="12"/>
        <v>2.8492594768575596</v>
      </c>
      <c r="N24" s="51">
        <f t="shared" si="12"/>
        <v>3.9137999296200841</v>
      </c>
      <c r="O24" s="51">
        <f t="shared" si="12"/>
        <v>4.2848404348313354</v>
      </c>
      <c r="P24" s="51">
        <f t="shared" si="12"/>
        <v>4.2893847658410857</v>
      </c>
      <c r="Q24" s="51">
        <f t="shared" si="12"/>
        <v>6.399433065112631</v>
      </c>
      <c r="R24" s="52">
        <f t="shared" si="12"/>
        <v>8.38243201950017</v>
      </c>
    </row>
    <row r="25" spans="1:30" x14ac:dyDescent="0.25">
      <c r="A25" s="142"/>
      <c r="B25" s="46" t="s">
        <v>15</v>
      </c>
      <c r="C25" s="47">
        <f t="shared" ref="C25:R25" si="15">IF(C24&gt;0,C$13/C24,"N/A")</f>
        <v>268.38086013616623</v>
      </c>
      <c r="D25" s="95">
        <f t="shared" ref="D25" si="16">IF(D24&gt;0,D$13/D24,"N/A")</f>
        <v>264.22753328120478</v>
      </c>
      <c r="E25" s="48">
        <f t="shared" si="15"/>
        <v>255.35539392964014</v>
      </c>
      <c r="F25" s="48">
        <f t="shared" si="15"/>
        <v>294.19225304607306</v>
      </c>
      <c r="G25" s="48">
        <f t="shared" ref="G25" si="17">IF(G24&gt;0,G$13/G24,"N/A")</f>
        <v>317.20539046817822</v>
      </c>
      <c r="H25" s="48">
        <f t="shared" si="15"/>
        <v>340.81254720379172</v>
      </c>
      <c r="I25" s="48">
        <f t="shared" si="15"/>
        <v>290.36139348633742</v>
      </c>
      <c r="J25" s="48">
        <f t="shared" si="15"/>
        <v>296.52576505124335</v>
      </c>
      <c r="K25" s="48">
        <f t="shared" si="15"/>
        <v>322.35947514770254</v>
      </c>
      <c r="L25" s="48">
        <f t="shared" si="15"/>
        <v>317.81646763998179</v>
      </c>
      <c r="M25" s="48">
        <f t="shared" si="15"/>
        <v>386.06522464327713</v>
      </c>
      <c r="N25" s="48">
        <f t="shared" si="15"/>
        <v>306.60739475164871</v>
      </c>
      <c r="O25" s="48">
        <f t="shared" si="15"/>
        <v>350.07137904285685</v>
      </c>
      <c r="P25" s="48">
        <f t="shared" si="15"/>
        <v>407.98391739913092</v>
      </c>
      <c r="Q25" s="48">
        <f t="shared" si="15"/>
        <v>367.22002966346201</v>
      </c>
      <c r="R25" s="49">
        <f t="shared" si="15"/>
        <v>417.53992061705964</v>
      </c>
    </row>
    <row r="26" spans="1:30" ht="15.75" thickBot="1" x14ac:dyDescent="0.3">
      <c r="A26" s="142"/>
      <c r="B26" s="53" t="s">
        <v>16</v>
      </c>
      <c r="C26" s="54">
        <f>IFERROR(C24*365/C$13,"N/A")</f>
        <v>1.3600075646780954</v>
      </c>
      <c r="D26" s="96">
        <f t="shared" ref="D26:R26" si="18">IFERROR(D24*365/D$13,"N/A")</f>
        <v>1.3813851852128822</v>
      </c>
      <c r="E26" s="55">
        <f t="shared" si="18"/>
        <v>1.4293804191211681</v>
      </c>
      <c r="F26" s="55">
        <f t="shared" si="18"/>
        <v>1.240685287327528</v>
      </c>
      <c r="G26" s="55">
        <f t="shared" si="18"/>
        <v>1.1506740142759853</v>
      </c>
      <c r="H26" s="55">
        <f t="shared" si="18"/>
        <v>1.0709699598640223</v>
      </c>
      <c r="I26" s="55">
        <f t="shared" si="18"/>
        <v>1.2570541683158527</v>
      </c>
      <c r="J26" s="55">
        <f t="shared" si="18"/>
        <v>1.2309217040108587</v>
      </c>
      <c r="K26" s="55">
        <f t="shared" si="18"/>
        <v>1.1322763192636416</v>
      </c>
      <c r="L26" s="55">
        <f t="shared" si="18"/>
        <v>1.1484615718952205</v>
      </c>
      <c r="M26" s="55">
        <f t="shared" si="18"/>
        <v>0.94543609913909921</v>
      </c>
      <c r="N26" s="55">
        <f t="shared" si="18"/>
        <v>1.1904474785927754</v>
      </c>
      <c r="O26" s="55">
        <f t="shared" si="18"/>
        <v>1.0426445058089584</v>
      </c>
      <c r="P26" s="55">
        <f t="shared" si="18"/>
        <v>0.89464310830399796</v>
      </c>
      <c r="Q26" s="55">
        <f t="shared" si="18"/>
        <v>0.99395449734728103</v>
      </c>
      <c r="R26" s="56">
        <f t="shared" si="18"/>
        <v>0.87416791060501764</v>
      </c>
    </row>
    <row r="27" spans="1:30" ht="108.75" customHeight="1" thickBot="1" x14ac:dyDescent="0.3">
      <c r="A27" s="143"/>
      <c r="B27" s="158" t="s">
        <v>38</v>
      </c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59"/>
      <c r="R27" s="160"/>
    </row>
    <row r="28" spans="1:30" ht="15.75" thickBot="1" x14ac:dyDescent="0.3"/>
    <row r="29" spans="1:30" ht="15.75" thickBot="1" x14ac:dyDescent="0.3">
      <c r="A29" s="141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42"/>
      <c r="B30" s="3" t="s">
        <v>0</v>
      </c>
      <c r="C30" s="23">
        <f>C$7</f>
        <v>1070</v>
      </c>
      <c r="D30" s="82" t="s">
        <v>74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42"/>
      <c r="B31" s="42" t="s">
        <v>35</v>
      </c>
      <c r="C31" s="43">
        <f t="shared" ref="C31:R31" si="20">C$8*(1-$C$29)</f>
        <v>0.14467868554640581</v>
      </c>
      <c r="D31" s="93">
        <f t="shared" si="20"/>
        <v>0.15384166896434484</v>
      </c>
      <c r="E31" s="44">
        <f t="shared" si="20"/>
        <v>0.16396917695259325</v>
      </c>
      <c r="F31" s="44">
        <f t="shared" si="20"/>
        <v>0.22184065117115559</v>
      </c>
      <c r="G31" s="44">
        <f t="shared" si="20"/>
        <v>0.14467868554640581</v>
      </c>
      <c r="H31" s="44">
        <f t="shared" si="20"/>
        <v>0.15432393124949956</v>
      </c>
      <c r="I31" s="44">
        <f t="shared" si="20"/>
        <v>0.20375581547785485</v>
      </c>
      <c r="J31" s="44">
        <f t="shared" si="20"/>
        <v>0.2121954054680619</v>
      </c>
      <c r="K31" s="44">
        <f t="shared" si="20"/>
        <v>0.20737278261651498</v>
      </c>
      <c r="L31" s="44">
        <f t="shared" si="20"/>
        <v>0.20737278261651498</v>
      </c>
      <c r="M31" s="44">
        <f t="shared" si="20"/>
        <v>0.20351468433527753</v>
      </c>
      <c r="N31" s="44">
        <f t="shared" si="20"/>
        <v>0.28549927281157411</v>
      </c>
      <c r="O31" s="44">
        <f t="shared" si="20"/>
        <v>0.29176868251858507</v>
      </c>
      <c r="P31" s="44">
        <f t="shared" si="20"/>
        <v>0.29205803988967788</v>
      </c>
      <c r="Q31" s="44">
        <f t="shared" si="20"/>
        <v>0.44850392519385801</v>
      </c>
      <c r="R31" s="45">
        <f t="shared" si="20"/>
        <v>0.57871474218562324</v>
      </c>
    </row>
    <row r="32" spans="1:30" x14ac:dyDescent="0.25">
      <c r="A32" s="142"/>
      <c r="B32" s="22" t="s">
        <v>17</v>
      </c>
      <c r="C32" s="50">
        <f t="shared" ref="C32:R32" si="21">C31-C$11</f>
        <v>-0.15268131445359415</v>
      </c>
      <c r="D32" s="94">
        <f t="shared" ref="D32" si="22">D31-D$11</f>
        <v>-0.18068833103565521</v>
      </c>
      <c r="E32" s="51">
        <f t="shared" si="21"/>
        <v>-0.25729082304740669</v>
      </c>
      <c r="F32" s="51">
        <f t="shared" si="21"/>
        <v>-0.37287934882884433</v>
      </c>
      <c r="G32" s="51">
        <f t="shared" ref="G32" si="23">G31-G$11</f>
        <v>-7.8341314453594185E-2</v>
      </c>
      <c r="H32" s="51">
        <f t="shared" si="21"/>
        <v>-6.8696068750500439E-2</v>
      </c>
      <c r="I32" s="51">
        <f t="shared" si="21"/>
        <v>-6.8824184522145143E-2</v>
      </c>
      <c r="J32" s="51">
        <f t="shared" si="21"/>
        <v>-8.5164594531938059E-2</v>
      </c>
      <c r="K32" s="51">
        <f t="shared" si="21"/>
        <v>-0.10237721738348499</v>
      </c>
      <c r="L32" s="51">
        <f t="shared" si="21"/>
        <v>-6.025121738348499E-2</v>
      </c>
      <c r="M32" s="51">
        <f t="shared" si="21"/>
        <v>-0.14340531566472242</v>
      </c>
      <c r="N32" s="51">
        <f t="shared" si="21"/>
        <v>-0.28444072718842578</v>
      </c>
      <c r="O32" s="51">
        <f t="shared" si="21"/>
        <v>-5.5913174814148925E-3</v>
      </c>
      <c r="P32" s="51">
        <f t="shared" si="21"/>
        <v>-5.3019601103220793E-3</v>
      </c>
      <c r="Q32" s="51">
        <f t="shared" si="21"/>
        <v>-0.19577607480614195</v>
      </c>
      <c r="R32" s="52">
        <f t="shared" si="21"/>
        <v>-0.12751525781437667</v>
      </c>
    </row>
    <row r="33" spans="1:18" x14ac:dyDescent="0.25">
      <c r="A33" s="142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 t="str">
        <f t="shared" si="24"/>
        <v>N/A</v>
      </c>
      <c r="P33" s="48" t="str">
        <f t="shared" si="24"/>
        <v>N/A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42"/>
      <c r="B34" s="53" t="s">
        <v>16</v>
      </c>
      <c r="C34" s="54">
        <f>IFERROR(C32*365/C$13,"N/A")</f>
        <v>-0.10514845240672049</v>
      </c>
      <c r="D34" s="96">
        <f t="shared" ref="D34:R34" si="27">IFERROR(D32*365/D$13,"N/A")</f>
        <v>-0.11991134696002573</v>
      </c>
      <c r="E34" s="55">
        <f t="shared" si="27"/>
        <v>-0.17074754620418808</v>
      </c>
      <c r="F34" s="55">
        <f t="shared" si="27"/>
        <v>-0.16011877920297432</v>
      </c>
      <c r="G34" s="55">
        <f t="shared" si="27"/>
        <v>-4.3991661193172119E-2</v>
      </c>
      <c r="H34" s="55">
        <f t="shared" si="27"/>
        <v>-3.3432086791910211E-2</v>
      </c>
      <c r="I34" s="55">
        <f t="shared" si="27"/>
        <v>-2.9553914530097623E-2</v>
      </c>
      <c r="J34" s="55">
        <f t="shared" si="27"/>
        <v>-3.4538974449063765E-2</v>
      </c>
      <c r="K34" s="55">
        <f t="shared" si="27"/>
        <v>-3.9334404573654759E-2</v>
      </c>
      <c r="L34" s="55">
        <f t="shared" si="27"/>
        <v>-2.3149151942075813E-2</v>
      </c>
      <c r="M34" s="55">
        <f t="shared" si="27"/>
        <v>-4.7584491106930624E-2</v>
      </c>
      <c r="N34" s="55">
        <f t="shared" si="27"/>
        <v>-8.651738785314618E-2</v>
      </c>
      <c r="O34" s="55">
        <f t="shared" si="27"/>
        <v>-1.360553920477624E-3</v>
      </c>
      <c r="P34" s="55">
        <f t="shared" si="27"/>
        <v>-1.1058373944386052E-3</v>
      </c>
      <c r="Q34" s="55">
        <f t="shared" si="27"/>
        <v>-3.0407773320953964E-2</v>
      </c>
      <c r="R34" s="56">
        <f t="shared" si="27"/>
        <v>-1.3298019743499282E-2</v>
      </c>
    </row>
    <row r="35" spans="1:18" ht="80.25" customHeight="1" thickBot="1" x14ac:dyDescent="0.3">
      <c r="A35" s="143"/>
      <c r="B35" s="158" t="s">
        <v>47</v>
      </c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59"/>
      <c r="Q35" s="159"/>
      <c r="R35" s="160"/>
    </row>
    <row r="36" spans="1:18" ht="15.75" thickBot="1" x14ac:dyDescent="0.3"/>
    <row r="37" spans="1:18" ht="15.75" thickBot="1" x14ac:dyDescent="0.3">
      <c r="A37" s="141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42"/>
      <c r="B38" s="3" t="s">
        <v>0</v>
      </c>
      <c r="C38" s="23">
        <f>C$7</f>
        <v>1070</v>
      </c>
      <c r="D38" s="82" t="s">
        <v>74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42"/>
      <c r="B39" s="42" t="s">
        <v>35</v>
      </c>
      <c r="C39" s="43">
        <f t="shared" ref="C39:R39" si="29">C$8*(1-$C$37)</f>
        <v>0.84541159626514162</v>
      </c>
      <c r="D39" s="93">
        <f t="shared" si="29"/>
        <v>0.8989543306952672</v>
      </c>
      <c r="E39" s="44">
        <f t="shared" si="29"/>
        <v>0.95813314243382719</v>
      </c>
      <c r="F39" s="44">
        <f t="shared" si="29"/>
        <v>1.2962977809398839</v>
      </c>
      <c r="G39" s="44">
        <f t="shared" si="29"/>
        <v>0.84541159626514162</v>
      </c>
      <c r="H39" s="44">
        <f t="shared" si="29"/>
        <v>0.90177236934948446</v>
      </c>
      <c r="I39" s="44">
        <f t="shared" si="29"/>
        <v>1.1906213314067411</v>
      </c>
      <c r="J39" s="44">
        <f t="shared" si="29"/>
        <v>1.2399370078555412</v>
      </c>
      <c r="K39" s="44">
        <f t="shared" si="29"/>
        <v>1.2117566213133697</v>
      </c>
      <c r="L39" s="44">
        <f t="shared" si="29"/>
        <v>1.2117566213133697</v>
      </c>
      <c r="M39" s="44">
        <f t="shared" si="29"/>
        <v>1.1892123120796325</v>
      </c>
      <c r="N39" s="44">
        <f t="shared" si="29"/>
        <v>1.6682788832965461</v>
      </c>
      <c r="O39" s="44">
        <f t="shared" si="29"/>
        <v>1.704913385801369</v>
      </c>
      <c r="P39" s="44">
        <f t="shared" si="29"/>
        <v>1.7066042089938993</v>
      </c>
      <c r="Q39" s="44">
        <f t="shared" si="29"/>
        <v>2.6207759484219388</v>
      </c>
      <c r="R39" s="45">
        <f t="shared" si="29"/>
        <v>3.3816463850605665</v>
      </c>
    </row>
    <row r="40" spans="1:18" x14ac:dyDescent="0.25">
      <c r="A40" s="142"/>
      <c r="B40" s="22" t="s">
        <v>17</v>
      </c>
      <c r="C40" s="50">
        <f>C39-C$11</f>
        <v>0.54805159626514166</v>
      </c>
      <c r="D40" s="94">
        <f>D39-D$11</f>
        <v>0.56442433069526721</v>
      </c>
      <c r="E40" s="51">
        <f>E39-E$11</f>
        <v>0.53687314243382722</v>
      </c>
      <c r="F40" s="51">
        <f t="shared" ref="F40:G40" si="30">F39-F$11</f>
        <v>0.70157778093988399</v>
      </c>
      <c r="G40" s="51">
        <f t="shared" si="30"/>
        <v>0.62239159626514162</v>
      </c>
      <c r="H40" s="51">
        <f t="shared" ref="H40" si="31">H39-H$11</f>
        <v>0.67875236934948446</v>
      </c>
      <c r="I40" s="51">
        <f t="shared" ref="I40" si="32">I39-I$11</f>
        <v>0.91804133140674105</v>
      </c>
      <c r="J40" s="51">
        <f t="shared" ref="J40" si="33">J39-J$11</f>
        <v>0.94257700785554122</v>
      </c>
      <c r="K40" s="51">
        <f t="shared" ref="K40" si="34">K39-K$11</f>
        <v>0.90200662131336973</v>
      </c>
      <c r="L40" s="51">
        <f t="shared" ref="L40" si="35">L39-L$11</f>
        <v>0.94413262131336972</v>
      </c>
      <c r="M40" s="51">
        <f t="shared" ref="M40" si="36">M39-M$11</f>
        <v>0.84229231207963262</v>
      </c>
      <c r="N40" s="51">
        <f t="shared" ref="N40" si="37">N39-N$11</f>
        <v>1.0983388832965462</v>
      </c>
      <c r="O40" s="51">
        <f t="shared" ref="O40" si="38">O39-O$11</f>
        <v>1.4075533858013691</v>
      </c>
      <c r="P40" s="51">
        <f t="shared" ref="P40" si="39">P39-P$11</f>
        <v>1.4092442089938992</v>
      </c>
      <c r="Q40" s="51">
        <f t="shared" ref="Q40" si="40">Q39-Q$11</f>
        <v>1.9764959484219389</v>
      </c>
      <c r="R40" s="52">
        <f>R39-R$11</f>
        <v>2.6754163850605668</v>
      </c>
    </row>
    <row r="41" spans="1:18" x14ac:dyDescent="0.25">
      <c r="A41" s="142"/>
      <c r="B41" s="46" t="s">
        <v>15</v>
      </c>
      <c r="C41" s="47">
        <f>IF(C40&gt;0,C$13/C40,"N/A")</f>
        <v>967.06223211799841</v>
      </c>
      <c r="D41" s="95">
        <f>IF(D40&gt;0,D$13/D40,"N/A")</f>
        <v>974.44417274234252</v>
      </c>
      <c r="E41" s="48">
        <f>IF(E40&gt;0,E$13/E40,"N/A")</f>
        <v>1024.4505759901945</v>
      </c>
      <c r="F41" s="48">
        <f t="shared" ref="F41:G41" si="41">IF(F40&gt;0,F$13/F40,"N/A")</f>
        <v>1211.5549025245339</v>
      </c>
      <c r="G41" s="48">
        <f t="shared" si="41"/>
        <v>1044.3585740882932</v>
      </c>
      <c r="H41" s="48">
        <f t="shared" ref="H41" si="42">IF(H40&gt;0,H$13/H40,"N/A")</f>
        <v>1104.9685185169949</v>
      </c>
      <c r="I41" s="48">
        <f t="shared" ref="I41" si="43">IF(I40&gt;0,I$13/I40,"N/A")</f>
        <v>925.88423954455368</v>
      </c>
      <c r="J41" s="48">
        <f t="shared" ref="J41" si="44">IF(J40&gt;0,J$13/J40,"N/A")</f>
        <v>954.82914658356856</v>
      </c>
      <c r="K41" s="48">
        <f t="shared" ref="K41" si="45">IF(K40&gt;0,K$13/K40,"N/A")</f>
        <v>1053.2073463238544</v>
      </c>
      <c r="L41" s="48">
        <f t="shared" ref="L41" si="46">IF(L40&gt;0,L$13/L40,"N/A")</f>
        <v>1006.2145704471775</v>
      </c>
      <c r="M41" s="48">
        <f t="shared" ref="M41" si="47">IF(M40&gt;0,M$13/M40,"N/A")</f>
        <v>1305.959919406225</v>
      </c>
      <c r="N41" s="48">
        <f t="shared" ref="N41" si="48">IF(N40&gt;0,N$13/N40,"N/A")</f>
        <v>1092.5589708691082</v>
      </c>
      <c r="O41" s="48">
        <f t="shared" ref="O41" si="49">IF(O40&gt;0,O$13/O40,"N/A")</f>
        <v>1065.6789398762292</v>
      </c>
      <c r="P41" s="48">
        <f t="shared" ref="P41" si="50">IF(P40&gt;0,P$13/P40,"N/A")</f>
        <v>1241.8003840862871</v>
      </c>
      <c r="Q41" s="48">
        <f t="shared" ref="Q41" si="51">IF(Q40&gt;0,Q$13/Q40,"N/A")</f>
        <v>1188.9728394719311</v>
      </c>
      <c r="R41" s="49">
        <f>IF(R40&gt;0,R$13/R40,"N/A")</f>
        <v>1308.207582021206</v>
      </c>
    </row>
    <row r="42" spans="1:18" ht="15.75" thickBot="1" x14ac:dyDescent="0.3">
      <c r="A42" s="142"/>
      <c r="B42" s="53" t="s">
        <v>16</v>
      </c>
      <c r="C42" s="12">
        <f>IFERROR(C40*365/C$13,"N/A")</f>
        <v>0.37743175969203152</v>
      </c>
      <c r="D42" s="97">
        <f t="shared" ref="D42:R42" si="52">IFERROR(D40*365/D$13,"N/A")</f>
        <v>0.37457251037049549</v>
      </c>
      <c r="E42" s="13">
        <f t="shared" si="52"/>
        <v>0.3562885399788126</v>
      </c>
      <c r="F42" s="13">
        <f t="shared" si="52"/>
        <v>0.30126575299183256</v>
      </c>
      <c r="G42" s="13">
        <f t="shared" si="52"/>
        <v>0.34949681944119493</v>
      </c>
      <c r="H42" s="13">
        <f t="shared" si="52"/>
        <v>0.33032615308341579</v>
      </c>
      <c r="I42" s="13">
        <f t="shared" si="52"/>
        <v>0.39421774819230643</v>
      </c>
      <c r="J42" s="13">
        <f t="shared" si="52"/>
        <v>0.38226734207474727</v>
      </c>
      <c r="K42" s="13">
        <f t="shared" si="52"/>
        <v>0.34656043871513681</v>
      </c>
      <c r="L42" s="13">
        <f t="shared" si="52"/>
        <v>0.36274569134671575</v>
      </c>
      <c r="M42" s="13">
        <f t="shared" si="52"/>
        <v>0.27948790355369629</v>
      </c>
      <c r="N42" s="13">
        <f t="shared" si="52"/>
        <v>0.33407807700269948</v>
      </c>
      <c r="O42" s="13">
        <f t="shared" si="52"/>
        <v>0.34250465721166651</v>
      </c>
      <c r="P42" s="13">
        <f t="shared" si="52"/>
        <v>0.29392807787587039</v>
      </c>
      <c r="Q42" s="13">
        <f t="shared" si="52"/>
        <v>0.30698766858468413</v>
      </c>
      <c r="R42" s="14">
        <f t="shared" si="52"/>
        <v>0.27900770872774483</v>
      </c>
    </row>
    <row r="43" spans="1:18" ht="74.25" customHeight="1" thickBot="1" x14ac:dyDescent="0.3">
      <c r="A43" s="143"/>
      <c r="B43" s="158" t="s">
        <v>37</v>
      </c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59"/>
      <c r="Q43" s="159"/>
      <c r="R43" s="160"/>
    </row>
    <row r="44" spans="1:18" x14ac:dyDescent="0.25"/>
  </sheetData>
  <mergeCells count="22">
    <mergeCell ref="A37:A43"/>
    <mergeCell ref="B43:R43"/>
    <mergeCell ref="B35:R35"/>
    <mergeCell ref="A29:A35"/>
    <mergeCell ref="A21:A27"/>
    <mergeCell ref="B27:R27"/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tabSelected="1" zoomScaleNormal="100" zoomScaleSheetLayoutView="115" workbookViewId="0">
      <selection activeCell="I29" sqref="I29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37" t="s">
        <v>75</v>
      </c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</row>
    <row r="2" spans="1:20" x14ac:dyDescent="0.25">
      <c r="A2" s="155" t="s">
        <v>44</v>
      </c>
      <c r="B2" s="155"/>
      <c r="C2" s="129">
        <f>'Card Data'!$B$2</f>
        <v>44450</v>
      </c>
      <c r="D2" s="130"/>
      <c r="O2" s="154" t="s">
        <v>49</v>
      </c>
      <c r="P2" s="154"/>
      <c r="Q2" s="154"/>
      <c r="R2" s="154"/>
    </row>
    <row r="3" spans="1:20" ht="15.75" thickBot="1" x14ac:dyDescent="0.3"/>
    <row r="4" spans="1:20" ht="15.75" thickBot="1" x14ac:dyDescent="0.3">
      <c r="A4" s="141" t="s">
        <v>32</v>
      </c>
      <c r="B4" s="150" t="s">
        <v>56</v>
      </c>
      <c r="C4" s="151"/>
      <c r="D4" s="59">
        <f>'Electricity Calculations'!$F$5</f>
        <v>10.324999999999999</v>
      </c>
      <c r="E4" s="1"/>
      <c r="F4" s="150" t="s">
        <v>50</v>
      </c>
      <c r="G4" s="151"/>
      <c r="H4" s="57">
        <f>'Card Data'!$C$5</f>
        <v>4120.84</v>
      </c>
      <c r="I4" s="1"/>
      <c r="J4" s="150" t="s">
        <v>113</v>
      </c>
      <c r="K4" s="151"/>
      <c r="L4" s="57">
        <f>'Card Data'!$C$7</f>
        <v>6396</v>
      </c>
      <c r="N4" s="135" t="s">
        <v>48</v>
      </c>
      <c r="O4" s="136"/>
      <c r="P4" s="152">
        <f>$L$4*$L$5*$H$4/$D$5/10000</f>
        <v>8.1635965137630517</v>
      </c>
    </row>
    <row r="5" spans="1:20" ht="15.75" thickBot="1" x14ac:dyDescent="0.3">
      <c r="A5" s="142"/>
      <c r="B5" s="150" t="s">
        <v>46</v>
      </c>
      <c r="C5" s="151"/>
      <c r="D5" s="58">
        <f>'Card Data'!$C$4</f>
        <v>695.99400000000003</v>
      </c>
      <c r="E5" s="1"/>
      <c r="F5" s="150" t="s">
        <v>112</v>
      </c>
      <c r="G5" s="151"/>
      <c r="H5" s="57">
        <f>'Card Data'!$C$6</f>
        <v>13788</v>
      </c>
      <c r="I5" s="1"/>
      <c r="J5" s="150" t="s">
        <v>39</v>
      </c>
      <c r="K5" s="151"/>
      <c r="L5" s="59">
        <f>$H$5/$L$4</f>
        <v>2.1557223264540339</v>
      </c>
      <c r="N5" s="156"/>
      <c r="O5" s="157"/>
      <c r="P5" s="153"/>
    </row>
    <row r="6" spans="1:20" ht="15.75" thickBot="1" x14ac:dyDescent="0.3">
      <c r="A6" s="142"/>
    </row>
    <row r="7" spans="1:20" ht="15.75" thickBot="1" x14ac:dyDescent="0.3">
      <c r="A7" s="142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71</v>
      </c>
      <c r="I7" s="10" t="s">
        <v>70</v>
      </c>
      <c r="J7" s="10">
        <v>5700</v>
      </c>
      <c r="K7" s="10" t="s">
        <v>65</v>
      </c>
      <c r="L7" s="10" t="s">
        <v>67</v>
      </c>
      <c r="M7" s="10">
        <v>6800</v>
      </c>
      <c r="N7" s="10" t="s">
        <v>68</v>
      </c>
      <c r="O7" s="10" t="s">
        <v>72</v>
      </c>
      <c r="P7" s="10" t="s">
        <v>73</v>
      </c>
      <c r="Q7" s="10" t="s">
        <v>69</v>
      </c>
      <c r="R7" s="11" t="s">
        <v>66</v>
      </c>
    </row>
    <row r="8" spans="1:20" x14ac:dyDescent="0.25">
      <c r="A8" s="142"/>
      <c r="B8" s="26" t="s">
        <v>51</v>
      </c>
      <c r="C8" s="61">
        <f t="shared" ref="C8:R8" si="0">$P$4*C9/100</f>
        <v>2.4817333401839674</v>
      </c>
      <c r="D8" s="83">
        <f t="shared" si="0"/>
        <v>2.4817333401839674</v>
      </c>
      <c r="E8" s="27">
        <f t="shared" si="0"/>
        <v>2.4898969366977308</v>
      </c>
      <c r="F8" s="27">
        <f t="shared" si="0"/>
        <v>2.5552057088078355</v>
      </c>
      <c r="G8" s="27">
        <f t="shared" si="0"/>
        <v>2.5143877262390202</v>
      </c>
      <c r="H8" s="27">
        <f t="shared" si="0"/>
        <v>2.1225350935783935</v>
      </c>
      <c r="I8" s="27">
        <f t="shared" si="0"/>
        <v>3.0205307100923289</v>
      </c>
      <c r="J8" s="27">
        <f t="shared" si="0"/>
        <v>4.367524134863233</v>
      </c>
      <c r="K8" s="27">
        <f t="shared" si="0"/>
        <v>4.4654872930283895</v>
      </c>
      <c r="L8" s="27">
        <f t="shared" si="0"/>
        <v>3.8368903614686345</v>
      </c>
      <c r="M8" s="27">
        <f t="shared" si="0"/>
        <v>5.1757201897257747</v>
      </c>
      <c r="N8" s="27">
        <f t="shared" si="0"/>
        <v>5.2573561548634062</v>
      </c>
      <c r="O8" s="27">
        <f t="shared" si="0"/>
        <v>5.2247017688083535</v>
      </c>
      <c r="P8" s="27">
        <f t="shared" si="0"/>
        <v>3.1511482543125378</v>
      </c>
      <c r="Q8" s="27">
        <f t="shared" si="0"/>
        <v>3.8368903614686345</v>
      </c>
      <c r="R8" s="28">
        <f t="shared" si="0"/>
        <v>7.388054844955561</v>
      </c>
    </row>
    <row r="9" spans="1:20" x14ac:dyDescent="0.25">
      <c r="A9" s="142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42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42"/>
      <c r="B11" s="15" t="s">
        <v>55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42"/>
      <c r="B12" s="29" t="s">
        <v>52</v>
      </c>
      <c r="C12" s="33">
        <f t="shared" ref="C12:R12" si="2">C8-C11</f>
        <v>2.1843733401839676</v>
      </c>
      <c r="D12" s="87">
        <f t="shared" si="2"/>
        <v>2.1595933401839673</v>
      </c>
      <c r="E12" s="34">
        <f t="shared" si="2"/>
        <v>2.1677569366977307</v>
      </c>
      <c r="F12" s="34">
        <f t="shared" si="2"/>
        <v>2.2330657088078354</v>
      </c>
      <c r="G12" s="34">
        <f t="shared" si="2"/>
        <v>2.1922477262390201</v>
      </c>
      <c r="H12" s="34">
        <f>H8-H11</f>
        <v>1.9490750935783936</v>
      </c>
      <c r="I12" s="34">
        <f t="shared" si="2"/>
        <v>2.7727307100923291</v>
      </c>
      <c r="J12" s="34">
        <f t="shared" si="2"/>
        <v>3.971044134863233</v>
      </c>
      <c r="K12" s="34">
        <f t="shared" si="2"/>
        <v>4.1185672930283896</v>
      </c>
      <c r="L12" s="34">
        <f t="shared" si="2"/>
        <v>3.4156303614686347</v>
      </c>
      <c r="M12" s="34">
        <f t="shared" si="2"/>
        <v>4.7420701897257747</v>
      </c>
      <c r="N12" s="34">
        <f t="shared" si="2"/>
        <v>4.7865361548634064</v>
      </c>
      <c r="O12" s="34">
        <f t="shared" si="2"/>
        <v>4.6795417688083534</v>
      </c>
      <c r="P12" s="34">
        <f t="shared" si="2"/>
        <v>2.618378254312538</v>
      </c>
      <c r="Q12" s="34">
        <f t="shared" si="2"/>
        <v>3.2917303614686344</v>
      </c>
      <c r="R12" s="35">
        <f t="shared" si="2"/>
        <v>6.8428948449555609</v>
      </c>
    </row>
    <row r="13" spans="1:20" ht="17.25" x14ac:dyDescent="0.25">
      <c r="A13" s="142"/>
      <c r="B13" s="15" t="s">
        <v>53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42"/>
      <c r="B14" s="29" t="s">
        <v>59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42"/>
      <c r="B15" s="15" t="s">
        <v>54</v>
      </c>
      <c r="C15" s="39">
        <f t="shared" ref="C15:R15" si="4">C13/C12</f>
        <v>228.89860025387881</v>
      </c>
      <c r="D15" s="90">
        <f t="shared" si="4"/>
        <v>231.525070343756</v>
      </c>
      <c r="E15" s="40">
        <f t="shared" si="4"/>
        <v>230.65316573807343</v>
      </c>
      <c r="F15" s="40">
        <f t="shared" si="4"/>
        <v>223.90742826234813</v>
      </c>
      <c r="G15" s="40">
        <f t="shared" si="4"/>
        <v>228.07641399988623</v>
      </c>
      <c r="H15" s="40">
        <f t="shared" si="4"/>
        <v>256.53193232387355</v>
      </c>
      <c r="I15" s="40">
        <f t="shared" si="4"/>
        <v>234.42593888908732</v>
      </c>
      <c r="J15" s="40">
        <f t="shared" si="4"/>
        <v>226.64064398040162</v>
      </c>
      <c r="K15" s="40">
        <f t="shared" si="4"/>
        <v>230.66273594900119</v>
      </c>
      <c r="L15" s="40">
        <f t="shared" si="4"/>
        <v>234.21738166539197</v>
      </c>
      <c r="M15" s="40">
        <f t="shared" si="4"/>
        <v>274.14187221787552</v>
      </c>
      <c r="N15" s="40">
        <f t="shared" si="4"/>
        <v>355.16288710630516</v>
      </c>
      <c r="O15" s="40">
        <f t="shared" si="4"/>
        <v>341.91381956773097</v>
      </c>
      <c r="P15" s="40">
        <f t="shared" si="4"/>
        <v>267.34105312976897</v>
      </c>
      <c r="Q15" s="40">
        <f t="shared" si="4"/>
        <v>258.22285140656692</v>
      </c>
      <c r="R15" s="41">
        <f t="shared" si="4"/>
        <v>306.88766195904299</v>
      </c>
    </row>
    <row r="16" spans="1:20" ht="18" thickBot="1" x14ac:dyDescent="0.3">
      <c r="A16" s="143"/>
      <c r="B16" s="8" t="s">
        <v>40</v>
      </c>
      <c r="C16" s="36">
        <f>IFERROR(C12*365/C13,"N/A")</f>
        <v>1.5945925383342963</v>
      </c>
      <c r="D16" s="91">
        <f t="shared" ref="D16:R16" si="5">IFERROR(D12*365/D13,"N/A")</f>
        <v>1.5765031383342962</v>
      </c>
      <c r="E16" s="37">
        <f t="shared" si="5"/>
        <v>1.5824625637893435</v>
      </c>
      <c r="F16" s="37">
        <f t="shared" si="5"/>
        <v>1.6301379674297198</v>
      </c>
      <c r="G16" s="37">
        <f t="shared" si="5"/>
        <v>1.6003408401544845</v>
      </c>
      <c r="H16" s="37">
        <f t="shared" si="5"/>
        <v>1.4228248183122274</v>
      </c>
      <c r="I16" s="37">
        <f t="shared" si="5"/>
        <v>1.5569949372056926</v>
      </c>
      <c r="J16" s="37">
        <f t="shared" si="5"/>
        <v>1.610479010250089</v>
      </c>
      <c r="K16" s="37">
        <f t="shared" si="5"/>
        <v>1.5823969073214339</v>
      </c>
      <c r="L16" s="37">
        <f t="shared" si="5"/>
        <v>1.5583813524200647</v>
      </c>
      <c r="M16" s="37">
        <f t="shared" si="5"/>
        <v>1.3314273994230059</v>
      </c>
      <c r="N16" s="37">
        <f t="shared" si="5"/>
        <v>1.027697468544202</v>
      </c>
      <c r="O16" s="37">
        <f t="shared" si="5"/>
        <v>1.0675204660094055</v>
      </c>
      <c r="P16" s="37">
        <f t="shared" si="5"/>
        <v>1.3652972326058235</v>
      </c>
      <c r="Q16" s="37">
        <f t="shared" si="5"/>
        <v>1.4135077434541783</v>
      </c>
      <c r="R16" s="38">
        <f t="shared" si="5"/>
        <v>1.1893602944803712</v>
      </c>
    </row>
    <row r="17" spans="1:18" ht="15.75" thickBot="1" x14ac:dyDescent="0.3"/>
    <row r="18" spans="1:18" ht="15.75" thickBot="1" x14ac:dyDescent="0.3">
      <c r="A18" s="141" t="s">
        <v>18</v>
      </c>
      <c r="B18" s="108" t="s">
        <v>33</v>
      </c>
      <c r="C18" s="60">
        <f>1-2/$L$5</f>
        <v>7.2236727589208072E-2</v>
      </c>
      <c r="D18" s="92"/>
    </row>
    <row r="19" spans="1:18" ht="15.75" customHeight="1" thickBot="1" x14ac:dyDescent="0.3">
      <c r="A19" s="142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42"/>
      <c r="B20" s="42" t="s">
        <v>35</v>
      </c>
      <c r="C20" s="43">
        <f t="shared" ref="C20:R20" si="7">C$8*(1-$C$18)</f>
        <v>2.3024610449400429</v>
      </c>
      <c r="D20" s="93">
        <f t="shared" si="7"/>
        <v>2.3024610449400429</v>
      </c>
      <c r="E20" s="44">
        <f t="shared" si="7"/>
        <v>2.3100349299562932</v>
      </c>
      <c r="F20" s="44">
        <f t="shared" si="7"/>
        <v>2.3706260100862946</v>
      </c>
      <c r="G20" s="44">
        <f t="shared" si="7"/>
        <v>2.3327565850050438</v>
      </c>
      <c r="H20" s="44">
        <f t="shared" si="7"/>
        <v>1.969210104225037</v>
      </c>
      <c r="I20" s="44">
        <f t="shared" si="7"/>
        <v>2.8023374560125522</v>
      </c>
      <c r="J20" s="44">
        <f t="shared" si="7"/>
        <v>4.0520284836938263</v>
      </c>
      <c r="K20" s="44">
        <f t="shared" si="7"/>
        <v>4.1429151038888277</v>
      </c>
      <c r="L20" s="44">
        <f t="shared" si="7"/>
        <v>3.5597259576375668</v>
      </c>
      <c r="M20" s="44">
        <f t="shared" si="7"/>
        <v>4.8018431003025892</v>
      </c>
      <c r="N20" s="44">
        <f t="shared" si="7"/>
        <v>4.8775819504650917</v>
      </c>
      <c r="O20" s="44">
        <f t="shared" si="7"/>
        <v>4.8472864104000912</v>
      </c>
      <c r="P20" s="44">
        <f t="shared" si="7"/>
        <v>2.9235196162725545</v>
      </c>
      <c r="Q20" s="44">
        <f t="shared" si="7"/>
        <v>3.5597259576375668</v>
      </c>
      <c r="R20" s="45">
        <f t="shared" si="7"/>
        <v>6.8543659397063772</v>
      </c>
    </row>
    <row r="21" spans="1:18" x14ac:dyDescent="0.25">
      <c r="A21" s="142"/>
      <c r="B21" s="22" t="s">
        <v>17</v>
      </c>
      <c r="C21" s="50">
        <f t="shared" ref="C21:R21" si="8">C20-C$11</f>
        <v>2.005101044940043</v>
      </c>
      <c r="D21" s="94">
        <f t="shared" si="8"/>
        <v>1.9803210449400428</v>
      </c>
      <c r="E21" s="51">
        <f t="shared" si="8"/>
        <v>1.9878949299562931</v>
      </c>
      <c r="F21" s="51">
        <f t="shared" si="8"/>
        <v>2.0484860100862945</v>
      </c>
      <c r="G21" s="51">
        <f t="shared" si="8"/>
        <v>2.0106165850050437</v>
      </c>
      <c r="H21" s="51">
        <f t="shared" si="8"/>
        <v>1.795750104225037</v>
      </c>
      <c r="I21" s="51">
        <f t="shared" si="8"/>
        <v>2.5545374560125524</v>
      </c>
      <c r="J21" s="51">
        <f t="shared" si="8"/>
        <v>3.6555484836938263</v>
      </c>
      <c r="K21" s="51">
        <f t="shared" si="8"/>
        <v>3.7959951038888278</v>
      </c>
      <c r="L21" s="51">
        <f t="shared" si="8"/>
        <v>3.1384659576375666</v>
      </c>
      <c r="M21" s="51">
        <f t="shared" si="8"/>
        <v>4.3681931003025891</v>
      </c>
      <c r="N21" s="51">
        <f t="shared" si="8"/>
        <v>4.4067619504650919</v>
      </c>
      <c r="O21" s="51">
        <f t="shared" si="8"/>
        <v>4.3021264104000911</v>
      </c>
      <c r="P21" s="51">
        <f t="shared" si="8"/>
        <v>2.3907496162725543</v>
      </c>
      <c r="Q21" s="51">
        <f t="shared" si="8"/>
        <v>3.0145659576375667</v>
      </c>
      <c r="R21" s="52">
        <f t="shared" si="8"/>
        <v>6.3092059397063771</v>
      </c>
    </row>
    <row r="22" spans="1:18" x14ac:dyDescent="0.25">
      <c r="A22" s="142"/>
      <c r="B22" s="46" t="s">
        <v>15</v>
      </c>
      <c r="C22" s="47">
        <f t="shared" ref="C22:R22" si="9">IF(C21&gt;0,C$13/C21,"N/A")</f>
        <v>249.36399153637223</v>
      </c>
      <c r="D22" s="95">
        <f t="shared" si="9"/>
        <v>252.48431373163447</v>
      </c>
      <c r="E22" s="48">
        <f t="shared" si="9"/>
        <v>251.52234781895302</v>
      </c>
      <c r="F22" s="48">
        <f t="shared" si="9"/>
        <v>244.08270182862367</v>
      </c>
      <c r="G22" s="48">
        <f t="shared" si="9"/>
        <v>248.6799341699182</v>
      </c>
      <c r="H22" s="48">
        <f t="shared" si="9"/>
        <v>278.43517804821568</v>
      </c>
      <c r="I22" s="48">
        <f t="shared" si="9"/>
        <v>254.44919528195246</v>
      </c>
      <c r="J22" s="48">
        <f t="shared" si="9"/>
        <v>246.20108419149619</v>
      </c>
      <c r="K22" s="48">
        <f t="shared" si="9"/>
        <v>250.26375798713948</v>
      </c>
      <c r="L22" s="48">
        <f t="shared" si="9"/>
        <v>254.90160186481299</v>
      </c>
      <c r="M22" s="48">
        <f t="shared" si="9"/>
        <v>297.60589107426313</v>
      </c>
      <c r="N22" s="48">
        <f t="shared" si="9"/>
        <v>385.77078115612329</v>
      </c>
      <c r="O22" s="48">
        <f t="shared" si="9"/>
        <v>371.9091089773911</v>
      </c>
      <c r="P22" s="48">
        <f t="shared" si="9"/>
        <v>292.79519496122651</v>
      </c>
      <c r="Q22" s="48">
        <f t="shared" si="9"/>
        <v>281.96430661816464</v>
      </c>
      <c r="R22" s="49">
        <f t="shared" si="9"/>
        <v>332.84695729835875</v>
      </c>
    </row>
    <row r="23" spans="1:18" ht="15.75" thickBot="1" x14ac:dyDescent="0.3">
      <c r="A23" s="143"/>
      <c r="B23" s="53" t="s">
        <v>16</v>
      </c>
      <c r="C23" s="54">
        <f>IFERROR(C21*365/C$13,"N/A")</f>
        <v>1.4637237628062314</v>
      </c>
      <c r="D23" s="96">
        <f t="shared" ref="D23:R23" si="10">IFERROR(D21*365/D$13,"N/A")</f>
        <v>1.4456343628062311</v>
      </c>
      <c r="E23" s="55">
        <f t="shared" si="10"/>
        <v>1.451163298868094</v>
      </c>
      <c r="F23" s="55">
        <f t="shared" si="10"/>
        <v>1.4953947873629949</v>
      </c>
      <c r="G23" s="55">
        <f t="shared" si="10"/>
        <v>1.4677501070536818</v>
      </c>
      <c r="H23" s="55">
        <f t="shared" si="10"/>
        <v>1.3108975760842769</v>
      </c>
      <c r="I23" s="55">
        <f t="shared" si="10"/>
        <v>1.4344710329916641</v>
      </c>
      <c r="J23" s="55">
        <f t="shared" si="10"/>
        <v>1.4825279961647184</v>
      </c>
      <c r="K23" s="55">
        <f t="shared" si="10"/>
        <v>1.4584612767572867</v>
      </c>
      <c r="L23" s="55">
        <f t="shared" si="10"/>
        <v>1.4319250931721399</v>
      </c>
      <c r="M23" s="55">
        <f t="shared" si="10"/>
        <v>1.2264542166234194</v>
      </c>
      <c r="N23" s="55">
        <f t="shared" si="10"/>
        <v>0.94615771289397554</v>
      </c>
      <c r="O23" s="55">
        <f t="shared" si="10"/>
        <v>0.98142258737252075</v>
      </c>
      <c r="P23" s="55">
        <f t="shared" si="10"/>
        <v>1.2466051570564034</v>
      </c>
      <c r="Q23" s="55">
        <f t="shared" si="10"/>
        <v>1.2944900876914258</v>
      </c>
      <c r="R23" s="56">
        <f t="shared" si="10"/>
        <v>1.0966000799965845</v>
      </c>
    </row>
    <row r="24" spans="1:18" ht="15.75" thickBot="1" x14ac:dyDescent="0.3"/>
    <row r="25" spans="1:18" ht="15.75" thickBot="1" x14ac:dyDescent="0.3">
      <c r="A25" s="141" t="s">
        <v>76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42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42"/>
      <c r="B27" s="42" t="s">
        <v>35</v>
      </c>
      <c r="C27" s="43">
        <f t="shared" ref="C27:R27" si="12">C$8*(1-$C$25)</f>
        <v>0.14660773468702454</v>
      </c>
      <c r="D27" s="93">
        <f t="shared" si="12"/>
        <v>0.14660773468702454</v>
      </c>
      <c r="E27" s="44">
        <f t="shared" si="12"/>
        <v>0.14708999697217925</v>
      </c>
      <c r="F27" s="44">
        <f t="shared" si="12"/>
        <v>0.15094809525341676</v>
      </c>
      <c r="G27" s="44">
        <f t="shared" si="12"/>
        <v>0.14853678382764332</v>
      </c>
      <c r="H27" s="44">
        <f t="shared" si="12"/>
        <v>0.12538819414021837</v>
      </c>
      <c r="I27" s="44">
        <f t="shared" si="12"/>
        <v>0.17843704550723383</v>
      </c>
      <c r="J27" s="44">
        <f t="shared" si="12"/>
        <v>0.25801032255775708</v>
      </c>
      <c r="K27" s="44">
        <f t="shared" si="12"/>
        <v>0.26379746997961329</v>
      </c>
      <c r="L27" s="44">
        <f t="shared" si="12"/>
        <v>0.22666327402270245</v>
      </c>
      <c r="M27" s="44">
        <f t="shared" si="12"/>
        <v>0.30575428878807098</v>
      </c>
      <c r="N27" s="44">
        <f t="shared" si="12"/>
        <v>0.31057691163961787</v>
      </c>
      <c r="O27" s="44">
        <f t="shared" si="12"/>
        <v>0.30864786249899911</v>
      </c>
      <c r="P27" s="44">
        <f t="shared" si="12"/>
        <v>0.18615324206970882</v>
      </c>
      <c r="Q27" s="44">
        <f t="shared" si="12"/>
        <v>0.22666327402270245</v>
      </c>
      <c r="R27" s="45">
        <f t="shared" si="12"/>
        <v>0.43644736806499085</v>
      </c>
    </row>
    <row r="28" spans="1:18" x14ac:dyDescent="0.25">
      <c r="A28" s="142"/>
      <c r="B28" s="22" t="s">
        <v>17</v>
      </c>
      <c r="C28" s="50">
        <f t="shared" ref="C28:R28" si="13">C27-C$11</f>
        <v>-0.15075226531297542</v>
      </c>
      <c r="D28" s="94">
        <f t="shared" si="13"/>
        <v>-0.17553226531297544</v>
      </c>
      <c r="E28" s="51">
        <f t="shared" si="13"/>
        <v>-0.17505000302782073</v>
      </c>
      <c r="F28" s="51">
        <f t="shared" si="13"/>
        <v>-0.17119190474658322</v>
      </c>
      <c r="G28" s="51">
        <f t="shared" si="13"/>
        <v>-0.17360321617235666</v>
      </c>
      <c r="H28" s="51">
        <f t="shared" si="13"/>
        <v>-4.8071805859781602E-2</v>
      </c>
      <c r="I28" s="51">
        <f t="shared" si="13"/>
        <v>-6.9362954492766138E-2</v>
      </c>
      <c r="J28" s="51">
        <f t="shared" si="13"/>
        <v>-0.13846967744224287</v>
      </c>
      <c r="K28" s="51">
        <f t="shared" si="13"/>
        <v>-8.3122530020386665E-2</v>
      </c>
      <c r="L28" s="51">
        <f t="shared" si="13"/>
        <v>-0.19459672597729752</v>
      </c>
      <c r="M28" s="51">
        <f t="shared" si="13"/>
        <v>-0.12789571121192905</v>
      </c>
      <c r="N28" s="51">
        <f t="shared" si="13"/>
        <v>-0.16024308836038209</v>
      </c>
      <c r="O28" s="51">
        <f t="shared" si="13"/>
        <v>-0.23651213750100086</v>
      </c>
      <c r="P28" s="51">
        <f t="shared" si="13"/>
        <v>-0.34661675793029112</v>
      </c>
      <c r="Q28" s="51">
        <f t="shared" si="13"/>
        <v>-0.3184967259772975</v>
      </c>
      <c r="R28" s="52">
        <f t="shared" si="13"/>
        <v>-0.10871263193500913</v>
      </c>
    </row>
    <row r="29" spans="1:18" x14ac:dyDescent="0.25">
      <c r="A29" s="142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43"/>
      <c r="B30" s="53" t="s">
        <v>16</v>
      </c>
      <c r="C30" s="54">
        <f>IFERROR(C28*365/C$13,"N/A")</f>
        <v>-0.11004915367847205</v>
      </c>
      <c r="D30" s="96">
        <f t="shared" ref="D30:R30" si="15">IFERROR(D28*365/D$13,"N/A")</f>
        <v>-0.12813855367847207</v>
      </c>
      <c r="E30" s="55">
        <f t="shared" si="15"/>
        <v>-0.12778650221030913</v>
      </c>
      <c r="F30" s="55">
        <f t="shared" si="15"/>
        <v>-0.12497009046500575</v>
      </c>
      <c r="G30" s="55">
        <f t="shared" si="15"/>
        <v>-0.12673034780582035</v>
      </c>
      <c r="H30" s="55">
        <f t="shared" si="15"/>
        <v>-3.509241827764057E-2</v>
      </c>
      <c r="I30" s="55">
        <f t="shared" si="15"/>
        <v>-3.8949966753630216E-2</v>
      </c>
      <c r="J30" s="55">
        <f t="shared" si="15"/>
        <v>-5.6157146962687386E-2</v>
      </c>
      <c r="K30" s="55">
        <f t="shared" si="15"/>
        <v>-3.193655100783277E-2</v>
      </c>
      <c r="L30" s="55">
        <f t="shared" si="15"/>
        <v>-8.8784756227142006E-2</v>
      </c>
      <c r="M30" s="55">
        <f t="shared" si="15"/>
        <v>-3.5909180455657004E-2</v>
      </c>
      <c r="N30" s="55">
        <f t="shared" si="15"/>
        <v>-3.440513367737616E-2</v>
      </c>
      <c r="O30" s="55">
        <f t="shared" si="15"/>
        <v>-5.3954331367415821E-2</v>
      </c>
      <c r="P30" s="55">
        <f t="shared" si="15"/>
        <v>-0.18073588092079465</v>
      </c>
      <c r="Q30" s="55">
        <f t="shared" si="15"/>
        <v>-0.13676624115495717</v>
      </c>
      <c r="R30" s="56">
        <f t="shared" si="15"/>
        <v>-1.8895290788703965E-2</v>
      </c>
    </row>
    <row r="31" spans="1:18" ht="15.75" thickBot="1" x14ac:dyDescent="0.3"/>
    <row r="32" spans="1:18" ht="15.75" thickBot="1" x14ac:dyDescent="0.3">
      <c r="A32" s="141" t="s">
        <v>77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42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42"/>
      <c r="B34" s="42" t="s">
        <v>35</v>
      </c>
      <c r="C34" s="43">
        <f t="shared" ref="C34:R34" si="17">C$8*(1-$C$32)</f>
        <v>0.8566837508820101</v>
      </c>
      <c r="D34" s="93">
        <f t="shared" si="17"/>
        <v>0.8566837508820101</v>
      </c>
      <c r="E34" s="44">
        <f t="shared" si="17"/>
        <v>0.85950178953622736</v>
      </c>
      <c r="F34" s="44">
        <f t="shared" si="17"/>
        <v>0.88204609876996454</v>
      </c>
      <c r="G34" s="44">
        <f t="shared" si="17"/>
        <v>0.8679559054988788</v>
      </c>
      <c r="H34" s="44">
        <f t="shared" si="17"/>
        <v>0.73269005009645616</v>
      </c>
      <c r="I34" s="44">
        <f t="shared" si="17"/>
        <v>1.0426743020603413</v>
      </c>
      <c r="J34" s="44">
        <f t="shared" si="17"/>
        <v>1.5076506800061693</v>
      </c>
      <c r="K34" s="44">
        <f t="shared" si="17"/>
        <v>1.5414671438567751</v>
      </c>
      <c r="L34" s="44">
        <f t="shared" si="17"/>
        <v>1.3244781674820554</v>
      </c>
      <c r="M34" s="44">
        <f t="shared" si="17"/>
        <v>1.786636506773666</v>
      </c>
      <c r="N34" s="44">
        <f t="shared" si="17"/>
        <v>1.8148168933158377</v>
      </c>
      <c r="O34" s="44">
        <f t="shared" si="17"/>
        <v>1.8035447386989689</v>
      </c>
      <c r="P34" s="44">
        <f t="shared" si="17"/>
        <v>1.0877629205278154</v>
      </c>
      <c r="Q34" s="44">
        <f t="shared" si="17"/>
        <v>1.3244781674820554</v>
      </c>
      <c r="R34" s="45">
        <f t="shared" si="17"/>
        <v>2.5503249820665101</v>
      </c>
    </row>
    <row r="35" spans="1:18" x14ac:dyDescent="0.25">
      <c r="A35" s="142"/>
      <c r="B35" s="22" t="s">
        <v>17</v>
      </c>
      <c r="C35" s="50">
        <f>C34-C$11</f>
        <v>0.55932375088201014</v>
      </c>
      <c r="D35" s="94">
        <f>D34-D$11</f>
        <v>0.53454375088201012</v>
      </c>
      <c r="E35" s="51">
        <f>E34-E$11</f>
        <v>0.53736178953622737</v>
      </c>
      <c r="F35" s="51">
        <f t="shared" ref="F35:Q35" si="18">F34-F$11</f>
        <v>0.55990609876996456</v>
      </c>
      <c r="G35" s="51">
        <f t="shared" si="18"/>
        <v>0.54581590549887882</v>
      </c>
      <c r="H35" s="51">
        <f t="shared" si="18"/>
        <v>0.55923005009645621</v>
      </c>
      <c r="I35" s="51">
        <f t="shared" si="18"/>
        <v>0.79487430206034126</v>
      </c>
      <c r="J35" s="51">
        <f t="shared" si="18"/>
        <v>1.1111706800061694</v>
      </c>
      <c r="K35" s="51">
        <f t="shared" si="18"/>
        <v>1.1945471438567752</v>
      </c>
      <c r="L35" s="51">
        <f t="shared" si="18"/>
        <v>0.90321816748205541</v>
      </c>
      <c r="M35" s="51">
        <f t="shared" si="18"/>
        <v>1.3529865067736659</v>
      </c>
      <c r="N35" s="51">
        <f t="shared" si="18"/>
        <v>1.3439968933158377</v>
      </c>
      <c r="O35" s="51">
        <f t="shared" si="18"/>
        <v>1.2583847386989691</v>
      </c>
      <c r="P35" s="51">
        <f t="shared" si="18"/>
        <v>0.55499292052781546</v>
      </c>
      <c r="Q35" s="51">
        <f t="shared" si="18"/>
        <v>0.7793181674820554</v>
      </c>
      <c r="R35" s="52">
        <f>R34-R$11</f>
        <v>2.0051649820665101</v>
      </c>
    </row>
    <row r="36" spans="1:18" x14ac:dyDescent="0.25">
      <c r="A36" s="142"/>
      <c r="B36" s="46" t="s">
        <v>15</v>
      </c>
      <c r="C36" s="47">
        <f>IF(C35&gt;0,C$13/C35,"N/A")</f>
        <v>893.93664976954551</v>
      </c>
      <c r="D36" s="95">
        <f>IF(D35&gt;0,D$13/D35,"N/A")</f>
        <v>935.37713082416155</v>
      </c>
      <c r="E36" s="48">
        <f>IF(E35&gt;0,E$13/E35,"N/A")</f>
        <v>930.47181570451323</v>
      </c>
      <c r="F36" s="48">
        <f t="shared" ref="F36:Q36" si="19">IF(F35&gt;0,F$13/F35,"N/A")</f>
        <v>893.00688293703195</v>
      </c>
      <c r="G36" s="48">
        <f t="shared" si="19"/>
        <v>916.05978309297745</v>
      </c>
      <c r="H36" s="48">
        <f t="shared" si="19"/>
        <v>894.08643171760855</v>
      </c>
      <c r="I36" s="48">
        <f t="shared" si="19"/>
        <v>817.73935616634969</v>
      </c>
      <c r="J36" s="48">
        <f t="shared" si="19"/>
        <v>809.95657660351787</v>
      </c>
      <c r="K36" s="48">
        <f t="shared" si="19"/>
        <v>795.2804582770857</v>
      </c>
      <c r="L36" s="48">
        <f t="shared" si="19"/>
        <v>885.72177664472622</v>
      </c>
      <c r="M36" s="48">
        <f t="shared" si="19"/>
        <v>960.83737235486728</v>
      </c>
      <c r="N36" s="48">
        <f t="shared" si="19"/>
        <v>1264.8838761865366</v>
      </c>
      <c r="O36" s="48">
        <f t="shared" si="19"/>
        <v>1271.4712367333884</v>
      </c>
      <c r="P36" s="48">
        <f t="shared" si="19"/>
        <v>1261.2773498701179</v>
      </c>
      <c r="Q36" s="48">
        <f t="shared" si="19"/>
        <v>1090.6970162729745</v>
      </c>
      <c r="R36" s="49">
        <f>IF(R35&gt;0,R$13/R35,"N/A")</f>
        <v>1047.2953691001294</v>
      </c>
    </row>
    <row r="37" spans="1:18" ht="15.75" thickBot="1" x14ac:dyDescent="0.3">
      <c r="A37" s="143"/>
      <c r="B37" s="53" t="s">
        <v>16</v>
      </c>
      <c r="C37" s="12">
        <f>IFERROR(C35*365/C$13,"N/A")</f>
        <v>0.40830633814386735</v>
      </c>
      <c r="D37" s="97">
        <f t="shared" ref="D37:R37" si="20">IFERROR(D35*365/D$13,"N/A")</f>
        <v>0.39021693814386738</v>
      </c>
      <c r="E37" s="13">
        <f t="shared" si="20"/>
        <v>0.392274106361446</v>
      </c>
      <c r="F37" s="13">
        <f t="shared" si="20"/>
        <v>0.40873145210207412</v>
      </c>
      <c r="G37" s="13">
        <f t="shared" si="20"/>
        <v>0.39844561101418152</v>
      </c>
      <c r="H37" s="13">
        <f t="shared" si="20"/>
        <v>0.40823793657041302</v>
      </c>
      <c r="I37" s="13">
        <f t="shared" si="20"/>
        <v>0.44635249269542243</v>
      </c>
      <c r="J37" s="13">
        <f t="shared" si="20"/>
        <v>0.45064144244694648</v>
      </c>
      <c r="K37" s="13">
        <f t="shared" si="20"/>
        <v>0.45895758685023469</v>
      </c>
      <c r="L37" s="13">
        <f t="shared" si="20"/>
        <v>0.41209328891368779</v>
      </c>
      <c r="M37" s="13">
        <f t="shared" si="20"/>
        <v>0.37987698074799087</v>
      </c>
      <c r="N37" s="13">
        <f t="shared" si="20"/>
        <v>0.28856403885898868</v>
      </c>
      <c r="O37" s="13">
        <f t="shared" si="20"/>
        <v>0.28706901851570232</v>
      </c>
      <c r="P37" s="13">
        <f t="shared" si="20"/>
        <v>0.28938916570378947</v>
      </c>
      <c r="Q37" s="13">
        <f t="shared" si="20"/>
        <v>0.33464838956582377</v>
      </c>
      <c r="R37" s="14">
        <f t="shared" si="20"/>
        <v>0.34851677069251247</v>
      </c>
    </row>
    <row r="38" spans="1:18" x14ac:dyDescent="0.25"/>
  </sheetData>
  <mergeCells count="16">
    <mergeCell ref="A18:A23"/>
    <mergeCell ref="A25:A30"/>
    <mergeCell ref="A32:A37"/>
    <mergeCell ref="B5:C5"/>
    <mergeCell ref="F5:G5"/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D36" sqref="D36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58</v>
      </c>
      <c r="D1" s="68" t="s">
        <v>57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45"/>
  <sheetViews>
    <sheetView workbookViewId="0">
      <selection activeCell="E19" sqref="E19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61" t="s">
        <v>79</v>
      </c>
      <c r="B2" s="162"/>
      <c r="C2" s="163"/>
      <c r="E2" s="161" t="s">
        <v>80</v>
      </c>
      <c r="F2" s="163"/>
    </row>
    <row r="3" spans="1:6" ht="16.5" thickBot="1" x14ac:dyDescent="0.3">
      <c r="A3" s="111" t="s">
        <v>21</v>
      </c>
      <c r="B3" s="112" t="s">
        <v>81</v>
      </c>
      <c r="C3" s="113" t="s">
        <v>82</v>
      </c>
      <c r="E3" s="111" t="s">
        <v>21</v>
      </c>
      <c r="F3" s="114" t="s">
        <v>83</v>
      </c>
    </row>
    <row r="4" spans="1:6" x14ac:dyDescent="0.25">
      <c r="A4" s="115">
        <v>43926</v>
      </c>
      <c r="B4" s="116" t="s">
        <v>84</v>
      </c>
      <c r="C4" s="117">
        <v>150.97</v>
      </c>
      <c r="E4" s="115">
        <v>44290</v>
      </c>
      <c r="F4" s="117">
        <v>215.24</v>
      </c>
    </row>
    <row r="5" spans="1:6" x14ac:dyDescent="0.25">
      <c r="A5" s="118">
        <v>44262</v>
      </c>
      <c r="B5" s="119" t="s">
        <v>85</v>
      </c>
      <c r="C5" s="120">
        <v>19.86</v>
      </c>
      <c r="E5" s="118">
        <v>44310</v>
      </c>
      <c r="F5" s="120">
        <v>246.25</v>
      </c>
    </row>
    <row r="6" spans="1:6" x14ac:dyDescent="0.25">
      <c r="A6" s="118">
        <v>44263</v>
      </c>
      <c r="B6" s="119" t="s">
        <v>86</v>
      </c>
      <c r="C6" s="120">
        <v>18.11</v>
      </c>
      <c r="E6" s="118">
        <v>44318</v>
      </c>
      <c r="F6" s="120">
        <v>788.93</v>
      </c>
    </row>
    <row r="7" spans="1:6" x14ac:dyDescent="0.25">
      <c r="A7" s="118">
        <v>44264</v>
      </c>
      <c r="B7" s="119" t="s">
        <v>87</v>
      </c>
      <c r="C7" s="120">
        <v>7.99</v>
      </c>
      <c r="E7" s="118">
        <v>44328</v>
      </c>
      <c r="F7" s="120">
        <v>297</v>
      </c>
    </row>
    <row r="8" spans="1:6" x14ac:dyDescent="0.25">
      <c r="A8" s="118">
        <v>44271</v>
      </c>
      <c r="B8" s="119" t="s">
        <v>88</v>
      </c>
      <c r="C8" s="120">
        <v>16.89</v>
      </c>
      <c r="E8" s="118">
        <v>44328</v>
      </c>
      <c r="F8" s="120">
        <v>742.5</v>
      </c>
    </row>
    <row r="9" spans="1:6" x14ac:dyDescent="0.25">
      <c r="A9" s="118">
        <v>44271</v>
      </c>
      <c r="B9" s="119" t="s">
        <v>89</v>
      </c>
      <c r="C9" s="120">
        <v>60.07</v>
      </c>
      <c r="E9" s="118">
        <v>44333</v>
      </c>
      <c r="F9" s="120">
        <v>367.54</v>
      </c>
    </row>
    <row r="10" spans="1:6" x14ac:dyDescent="0.25">
      <c r="A10" s="118">
        <v>44272</v>
      </c>
      <c r="B10" s="119" t="s">
        <v>90</v>
      </c>
      <c r="C10" s="120">
        <v>889.1</v>
      </c>
      <c r="E10" s="118">
        <v>44339</v>
      </c>
      <c r="F10" s="120">
        <v>290.45</v>
      </c>
    </row>
    <row r="11" spans="1:6" x14ac:dyDescent="0.25">
      <c r="A11" s="118">
        <v>44275</v>
      </c>
      <c r="B11" s="119" t="s">
        <v>87</v>
      </c>
      <c r="C11" s="120">
        <v>15.98</v>
      </c>
      <c r="E11" s="118">
        <v>44358</v>
      </c>
      <c r="F11" s="120">
        <v>305.98</v>
      </c>
    </row>
    <row r="12" spans="1:6" x14ac:dyDescent="0.25">
      <c r="A12" s="118">
        <v>44324</v>
      </c>
      <c r="B12" s="119" t="s">
        <v>91</v>
      </c>
      <c r="C12" s="120">
        <v>50</v>
      </c>
      <c r="E12" s="118">
        <v>44371</v>
      </c>
      <c r="F12" s="120">
        <v>726.08</v>
      </c>
    </row>
    <row r="13" spans="1:6" x14ac:dyDescent="0.25">
      <c r="A13" s="118">
        <v>44320</v>
      </c>
      <c r="B13" s="119" t="s">
        <v>92</v>
      </c>
      <c r="C13" s="120">
        <v>1034.99</v>
      </c>
      <c r="E13" s="118">
        <v>44381</v>
      </c>
      <c r="F13" s="120">
        <v>305.35000000000002</v>
      </c>
    </row>
    <row r="14" spans="1:6" x14ac:dyDescent="0.25">
      <c r="A14" s="118">
        <v>44320</v>
      </c>
      <c r="B14" s="119" t="s">
        <v>93</v>
      </c>
      <c r="C14" s="120">
        <v>927.88</v>
      </c>
      <c r="E14" s="118">
        <v>44405</v>
      </c>
      <c r="F14" s="120">
        <v>352.14</v>
      </c>
    </row>
    <row r="15" spans="1:6" x14ac:dyDescent="0.25">
      <c r="A15" s="118">
        <v>44332</v>
      </c>
      <c r="B15" s="119" t="s">
        <v>95</v>
      </c>
      <c r="C15" s="120">
        <v>80</v>
      </c>
      <c r="E15" s="118">
        <v>44413</v>
      </c>
      <c r="F15" s="120">
        <v>297</v>
      </c>
    </row>
    <row r="16" spans="1:6" x14ac:dyDescent="0.25">
      <c r="A16" s="118">
        <v>44349</v>
      </c>
      <c r="B16" s="121" t="s">
        <v>96</v>
      </c>
      <c r="C16" s="120">
        <v>56.49</v>
      </c>
      <c r="E16" s="118">
        <v>44418</v>
      </c>
      <c r="F16" s="120">
        <v>311.55</v>
      </c>
    </row>
    <row r="17" spans="1:23" x14ac:dyDescent="0.25">
      <c r="A17" s="118">
        <v>44367</v>
      </c>
      <c r="B17" s="121" t="s">
        <v>97</v>
      </c>
      <c r="C17" s="120">
        <v>50</v>
      </c>
      <c r="E17" s="118">
        <v>44429</v>
      </c>
      <c r="F17" s="120">
        <v>308.89</v>
      </c>
    </row>
    <row r="18" spans="1:23" x14ac:dyDescent="0.25">
      <c r="A18" s="118">
        <v>44362</v>
      </c>
      <c r="B18" s="121" t="s">
        <v>98</v>
      </c>
      <c r="C18" s="120">
        <v>2.48</v>
      </c>
      <c r="E18" s="118">
        <v>44446</v>
      </c>
      <c r="F18" s="120">
        <v>353.19</v>
      </c>
    </row>
    <row r="19" spans="1:23" x14ac:dyDescent="0.25">
      <c r="A19" s="118">
        <v>44366</v>
      </c>
      <c r="B19" s="121" t="s">
        <v>99</v>
      </c>
      <c r="C19" s="120">
        <v>1850</v>
      </c>
      <c r="E19" s="118"/>
      <c r="F19" s="120"/>
    </row>
    <row r="20" spans="1:23" x14ac:dyDescent="0.25">
      <c r="A20" s="118">
        <v>44368</v>
      </c>
      <c r="B20" s="121" t="s">
        <v>100</v>
      </c>
      <c r="C20" s="120">
        <v>20.95</v>
      </c>
      <c r="E20" s="118"/>
      <c r="F20" s="120"/>
    </row>
    <row r="21" spans="1:23" x14ac:dyDescent="0.25">
      <c r="A21" s="118">
        <v>44368</v>
      </c>
      <c r="B21" s="121" t="s">
        <v>101</v>
      </c>
      <c r="C21" s="120">
        <v>22.95</v>
      </c>
      <c r="E21" s="118"/>
      <c r="F21" s="120"/>
    </row>
    <row r="22" spans="1:23" x14ac:dyDescent="0.25">
      <c r="A22" s="118">
        <v>44368</v>
      </c>
      <c r="B22" s="121" t="s">
        <v>102</v>
      </c>
      <c r="C22" s="120">
        <v>20.25</v>
      </c>
      <c r="E22" s="118"/>
      <c r="F22" s="120"/>
    </row>
    <row r="23" spans="1:23" x14ac:dyDescent="0.25">
      <c r="A23" s="118">
        <v>44372</v>
      </c>
      <c r="B23" s="119" t="s">
        <v>87</v>
      </c>
      <c r="C23" s="120">
        <v>9.99</v>
      </c>
      <c r="E23" s="118"/>
      <c r="F23" s="120"/>
    </row>
    <row r="24" spans="1:23" x14ac:dyDescent="0.25">
      <c r="A24" s="118">
        <v>44392</v>
      </c>
      <c r="B24" s="119" t="s">
        <v>110</v>
      </c>
      <c r="C24" s="120">
        <v>50</v>
      </c>
      <c r="D24" s="119"/>
      <c r="E24" s="118"/>
      <c r="F24" s="120"/>
    </row>
    <row r="25" spans="1:23" x14ac:dyDescent="0.25">
      <c r="A25" s="118">
        <v>44423</v>
      </c>
      <c r="B25" s="119" t="s">
        <v>109</v>
      </c>
      <c r="C25" s="120">
        <v>50</v>
      </c>
      <c r="D25" s="119"/>
      <c r="E25" s="118"/>
      <c r="F25" s="120"/>
    </row>
    <row r="26" spans="1:23" x14ac:dyDescent="0.25">
      <c r="A26" s="118">
        <v>44433</v>
      </c>
      <c r="B26" s="119" t="s">
        <v>116</v>
      </c>
      <c r="C26" s="120">
        <v>553.92999999999995</v>
      </c>
      <c r="D26" s="119"/>
      <c r="E26" s="118"/>
      <c r="F26" s="120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x14ac:dyDescent="0.25">
      <c r="A27" s="118">
        <v>44433</v>
      </c>
      <c r="B27" s="119" t="s">
        <v>117</v>
      </c>
      <c r="C27" s="120">
        <v>98.27</v>
      </c>
      <c r="D27" s="119"/>
      <c r="E27" s="118"/>
      <c r="F27" s="120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25">
      <c r="A28" s="118">
        <v>44434</v>
      </c>
      <c r="B28" s="119" t="s">
        <v>118</v>
      </c>
      <c r="C28" s="120">
        <v>950</v>
      </c>
      <c r="D28" s="119"/>
      <c r="E28" s="118"/>
      <c r="F28" s="120"/>
    </row>
    <row r="29" spans="1:23" x14ac:dyDescent="0.25">
      <c r="A29" s="118">
        <v>44438</v>
      </c>
      <c r="B29" s="119" t="s">
        <v>119</v>
      </c>
      <c r="C29" s="120">
        <v>25.93</v>
      </c>
      <c r="D29" s="119"/>
      <c r="E29" s="118"/>
      <c r="F29" s="120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1:23" x14ac:dyDescent="0.25">
      <c r="A30" s="118"/>
      <c r="B30" s="119"/>
      <c r="C30" s="120"/>
      <c r="D30" s="119"/>
      <c r="E30" s="118"/>
      <c r="F30" s="120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</row>
    <row r="31" spans="1:23" x14ac:dyDescent="0.25">
      <c r="A31" s="118"/>
      <c r="B31" s="119"/>
      <c r="C31" s="120"/>
      <c r="D31" s="119"/>
      <c r="E31" s="118"/>
      <c r="F31" s="120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</row>
    <row r="32" spans="1:23" x14ac:dyDescent="0.25">
      <c r="A32" s="126"/>
      <c r="B32" s="127"/>
      <c r="C32" s="128"/>
      <c r="D32" s="127"/>
      <c r="E32" s="126"/>
      <c r="F32" s="128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1:6" x14ac:dyDescent="0.25">
      <c r="A33" s="109"/>
    </row>
    <row r="34" spans="1:6" x14ac:dyDescent="0.25">
      <c r="A34" s="109"/>
      <c r="B34" s="6" t="s">
        <v>94</v>
      </c>
      <c r="C34" s="110">
        <f>SUM(C4:C33)</f>
        <v>7033.08</v>
      </c>
      <c r="E34" s="6" t="s">
        <v>94</v>
      </c>
      <c r="F34" s="110">
        <f>SUM(F4:F33)</f>
        <v>5908.09</v>
      </c>
    </row>
    <row r="35" spans="1:6" x14ac:dyDescent="0.25">
      <c r="A35" s="109"/>
    </row>
    <row r="36" spans="1:6" x14ac:dyDescent="0.25">
      <c r="A36" s="109"/>
      <c r="B36" s="6" t="s">
        <v>108</v>
      </c>
      <c r="C36" s="110">
        <f>C34-F34</f>
        <v>1124.9899999999998</v>
      </c>
    </row>
    <row r="37" spans="1:6" x14ac:dyDescent="0.25"/>
    <row r="38" spans="1:6" x14ac:dyDescent="0.25"/>
    <row r="39" spans="1:6" x14ac:dyDescent="0.25"/>
    <row r="40" spans="1:6" x14ac:dyDescent="0.25"/>
    <row r="41" spans="1:6" x14ac:dyDescent="0.25"/>
    <row r="42" spans="1:6" x14ac:dyDescent="0.25"/>
    <row r="43" spans="1:6" x14ac:dyDescent="0.25"/>
    <row r="44" spans="1:6" x14ac:dyDescent="0.25"/>
    <row r="45" spans="1:6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2021-09-12T01:44:12Z</cp:lastPrinted>
  <dcterms:created xsi:type="dcterms:W3CDTF">2021-03-17T05:33:13Z</dcterms:created>
  <dcterms:modified xsi:type="dcterms:W3CDTF">2021-09-12T01:44:21Z</dcterms:modified>
</cp:coreProperties>
</file>