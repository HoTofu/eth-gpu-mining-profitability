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6DEAE7D5-D4E1-4732-A25E-74B8EE87B474}" xr6:coauthVersionLast="47" xr6:coauthVersionMax="47" xr10:uidLastSave="{00000000-0000-0000-0000-000000000000}"/>
  <bookViews>
    <workbookView xWindow="-120" yWindow="-120" windowWidth="38640" windowHeight="21240" activeTab="1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Analysis'!$B$2:$S$38</definedName>
    <definedName name="_xlnm.Print_Area" localSheetId="1">'Nvidia Analysis'!$B$2:$S$44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9" l="1"/>
  <c r="G23" i="9"/>
  <c r="D10" i="3"/>
  <c r="M5" i="3"/>
  <c r="F14" i="7"/>
  <c r="E14" i="7"/>
  <c r="D14" i="7"/>
  <c r="I6" i="3"/>
  <c r="I5" i="3"/>
  <c r="M5" i="7"/>
  <c r="I6" i="7"/>
  <c r="I5" i="7"/>
  <c r="E6" i="7"/>
  <c r="E6" i="3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S10" i="7"/>
  <c r="R10" i="7"/>
  <c r="Q10" i="7"/>
  <c r="Q15" i="7" s="1"/>
  <c r="P10" i="7"/>
  <c r="O10" i="7"/>
  <c r="N10" i="7"/>
  <c r="M10" i="7"/>
  <c r="L10" i="7"/>
  <c r="K10" i="7"/>
  <c r="J10" i="7"/>
  <c r="I10" i="7"/>
  <c r="H10" i="7"/>
  <c r="G10" i="7"/>
  <c r="F10" i="7"/>
  <c r="E10" i="7"/>
  <c r="E15" i="7" s="1"/>
  <c r="D10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D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D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D3" i="7"/>
  <c r="D3" i="3"/>
  <c r="D33" i="7"/>
  <c r="D26" i="7"/>
  <c r="E14" i="3"/>
  <c r="E11" i="3"/>
  <c r="E10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D14" i="3"/>
  <c r="D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D38" i="3"/>
  <c r="D30" i="3"/>
  <c r="J6" i="5"/>
  <c r="I2" i="5"/>
  <c r="I3" i="5"/>
  <c r="F5" i="1"/>
  <c r="F4" i="1"/>
  <c r="F3" i="1"/>
  <c r="G3" i="1" s="1"/>
  <c r="G5" i="1" l="1"/>
  <c r="G15" i="7"/>
  <c r="S15" i="7"/>
  <c r="M6" i="7"/>
  <c r="Q5" i="7" s="1"/>
  <c r="D9" i="7" s="1"/>
  <c r="M6" i="3"/>
  <c r="Q5" i="3" s="1"/>
  <c r="D9" i="3" s="1"/>
  <c r="K15" i="7"/>
  <c r="L15" i="7"/>
  <c r="I15" i="7"/>
  <c r="J15" i="7"/>
  <c r="S15" i="3"/>
  <c r="O15" i="7"/>
  <c r="M15" i="7"/>
  <c r="D15" i="7"/>
  <c r="P15" i="7"/>
  <c r="H15" i="7"/>
  <c r="N15" i="7"/>
  <c r="R15" i="7"/>
  <c r="F15" i="7"/>
  <c r="E15" i="3"/>
  <c r="P15" i="3"/>
  <c r="Q15" i="3"/>
  <c r="R15" i="3"/>
  <c r="F15" i="3"/>
  <c r="O15" i="3"/>
  <c r="G15" i="3"/>
  <c r="N15" i="3"/>
  <c r="K15" i="3"/>
  <c r="L15" i="3"/>
  <c r="M15" i="3"/>
  <c r="H15" i="3"/>
  <c r="I15" i="3"/>
  <c r="J15" i="3"/>
  <c r="D15" i="3"/>
  <c r="G4" i="1"/>
  <c r="G6" i="1"/>
  <c r="E5" i="3" l="1"/>
  <c r="E12" i="3" s="1"/>
  <c r="E5" i="7"/>
  <c r="D19" i="7"/>
  <c r="D21" i="7" s="1"/>
  <c r="E9" i="3"/>
  <c r="R9" i="7"/>
  <c r="R28" i="7" s="1"/>
  <c r="S9" i="7"/>
  <c r="S35" i="7" s="1"/>
  <c r="L9" i="7"/>
  <c r="O9" i="7"/>
  <c r="M9" i="7"/>
  <c r="M28" i="7" s="1"/>
  <c r="D22" i="3"/>
  <c r="H9" i="3"/>
  <c r="H40" i="3" s="1"/>
  <c r="E13" i="3"/>
  <c r="E17" i="3" s="1"/>
  <c r="L9" i="3"/>
  <c r="L32" i="3" s="1"/>
  <c r="O9" i="3"/>
  <c r="O32" i="3" s="1"/>
  <c r="R9" i="3"/>
  <c r="M9" i="3"/>
  <c r="M40" i="3" s="1"/>
  <c r="P9" i="3"/>
  <c r="P40" i="3" s="1"/>
  <c r="D40" i="3"/>
  <c r="K9" i="7"/>
  <c r="N9" i="7"/>
  <c r="F9" i="7"/>
  <c r="E9" i="7"/>
  <c r="E35" i="7" s="1"/>
  <c r="J9" i="7"/>
  <c r="Q9" i="7"/>
  <c r="H9" i="7"/>
  <c r="G9" i="7"/>
  <c r="G35" i="7" s="1"/>
  <c r="N9" i="3"/>
  <c r="S9" i="3"/>
  <c r="J9" i="3"/>
  <c r="J40" i="3" s="1"/>
  <c r="K9" i="3"/>
  <c r="I9" i="7"/>
  <c r="I28" i="7" s="1"/>
  <c r="P9" i="7"/>
  <c r="G9" i="3"/>
  <c r="I9" i="3"/>
  <c r="I32" i="3" s="1"/>
  <c r="F9" i="3"/>
  <c r="Q9" i="3"/>
  <c r="Q32" i="3" s="1"/>
  <c r="R35" i="7"/>
  <c r="D35" i="7"/>
  <c r="D28" i="7"/>
  <c r="Q12" i="3"/>
  <c r="I12" i="3"/>
  <c r="L12" i="3"/>
  <c r="O12" i="3"/>
  <c r="K12" i="3"/>
  <c r="N12" i="3"/>
  <c r="F12" i="3"/>
  <c r="D12" i="3"/>
  <c r="P12" i="3"/>
  <c r="J12" i="3"/>
  <c r="H12" i="3"/>
  <c r="S12" i="3"/>
  <c r="G12" i="3"/>
  <c r="M12" i="3"/>
  <c r="R12" i="3" l="1"/>
  <c r="L13" i="7"/>
  <c r="L17" i="7" s="1"/>
  <c r="D12" i="7"/>
  <c r="D13" i="7" s="1"/>
  <c r="D17" i="7" s="1"/>
  <c r="I12" i="7"/>
  <c r="I13" i="7" s="1"/>
  <c r="I17" i="7" s="1"/>
  <c r="N12" i="7"/>
  <c r="Q12" i="7"/>
  <c r="Q13" i="7" s="1"/>
  <c r="P12" i="7"/>
  <c r="P13" i="7" s="1"/>
  <c r="E12" i="7"/>
  <c r="E13" i="7" s="1"/>
  <c r="E17" i="7" s="1"/>
  <c r="K12" i="7"/>
  <c r="K13" i="7" s="1"/>
  <c r="K17" i="7" s="1"/>
  <c r="J12" i="7"/>
  <c r="J13" i="7" s="1"/>
  <c r="F12" i="7"/>
  <c r="F13" i="7" s="1"/>
  <c r="M12" i="7"/>
  <c r="M29" i="7" s="1"/>
  <c r="L12" i="7"/>
  <c r="S12" i="7"/>
  <c r="S13" i="7" s="1"/>
  <c r="S17" i="7" s="1"/>
  <c r="R12" i="7"/>
  <c r="R13" i="7" s="1"/>
  <c r="R17" i="7" s="1"/>
  <c r="G12" i="7"/>
  <c r="G13" i="7" s="1"/>
  <c r="G17" i="7" s="1"/>
  <c r="O12" i="7"/>
  <c r="H12" i="7"/>
  <c r="H13" i="7" s="1"/>
  <c r="H17" i="7" s="1"/>
  <c r="L28" i="7"/>
  <c r="L29" i="7" s="1"/>
  <c r="L31" i="7" s="1"/>
  <c r="L35" i="7"/>
  <c r="L36" i="7" s="1"/>
  <c r="L38" i="7" s="1"/>
  <c r="R21" i="7"/>
  <c r="H21" i="7"/>
  <c r="S21" i="7"/>
  <c r="K21" i="7"/>
  <c r="N21" i="7"/>
  <c r="O21" i="7"/>
  <c r="O22" i="7" s="1"/>
  <c r="O24" i="7" s="1"/>
  <c r="O35" i="7"/>
  <c r="O36" i="7" s="1"/>
  <c r="O38" i="7" s="1"/>
  <c r="O13" i="7"/>
  <c r="O17" i="7" s="1"/>
  <c r="O28" i="7"/>
  <c r="O29" i="7" s="1"/>
  <c r="O31" i="7" s="1"/>
  <c r="L21" i="7"/>
  <c r="L22" i="7" s="1"/>
  <c r="L24" i="7" s="1"/>
  <c r="M35" i="7"/>
  <c r="M36" i="7" s="1"/>
  <c r="M38" i="7" s="1"/>
  <c r="S28" i="7"/>
  <c r="S29" i="7" s="1"/>
  <c r="S31" i="7" s="1"/>
  <c r="H13" i="3"/>
  <c r="H17" i="3" s="1"/>
  <c r="J35" i="7"/>
  <c r="H35" i="7"/>
  <c r="H28" i="7"/>
  <c r="R24" i="3"/>
  <c r="R25" i="3" s="1"/>
  <c r="M21" i="7"/>
  <c r="L13" i="3"/>
  <c r="F24" i="3"/>
  <c r="F25" i="3" s="1"/>
  <c r="F27" i="3" s="1"/>
  <c r="S24" i="3"/>
  <c r="S25" i="3" s="1"/>
  <c r="S27" i="3" s="1"/>
  <c r="N24" i="3"/>
  <c r="N25" i="3" s="1"/>
  <c r="N26" i="3" s="1"/>
  <c r="L40" i="3"/>
  <c r="L41" i="3" s="1"/>
  <c r="L43" i="3" s="1"/>
  <c r="G24" i="3"/>
  <c r="G25" i="3" s="1"/>
  <c r="G26" i="3" s="1"/>
  <c r="J28" i="7"/>
  <c r="L24" i="3"/>
  <c r="L25" i="3" s="1"/>
  <c r="K24" i="3"/>
  <c r="K25" i="3" s="1"/>
  <c r="E21" i="7"/>
  <c r="E28" i="7"/>
  <c r="H24" i="3"/>
  <c r="H25" i="3" s="1"/>
  <c r="H27" i="3" s="1"/>
  <c r="H32" i="3"/>
  <c r="H33" i="3" s="1"/>
  <c r="P24" i="3"/>
  <c r="P25" i="3" s="1"/>
  <c r="R32" i="3"/>
  <c r="R33" i="3" s="1"/>
  <c r="O24" i="3"/>
  <c r="O25" i="3" s="1"/>
  <c r="E40" i="3"/>
  <c r="E41" i="3" s="1"/>
  <c r="E43" i="3" s="1"/>
  <c r="N13" i="7"/>
  <c r="N17" i="7" s="1"/>
  <c r="D24" i="3"/>
  <c r="D25" i="3" s="1"/>
  <c r="D27" i="3" s="1"/>
  <c r="P32" i="3"/>
  <c r="P33" i="3" s="1"/>
  <c r="P35" i="3" s="1"/>
  <c r="E32" i="3"/>
  <c r="E33" i="3" s="1"/>
  <c r="E35" i="3" s="1"/>
  <c r="D32" i="3"/>
  <c r="D33" i="3" s="1"/>
  <c r="D35" i="3" s="1"/>
  <c r="E24" i="3"/>
  <c r="E25" i="3" s="1"/>
  <c r="E27" i="3" s="1"/>
  <c r="O40" i="3"/>
  <c r="O41" i="3" s="1"/>
  <c r="J21" i="7"/>
  <c r="N35" i="7"/>
  <c r="N36" i="7" s="1"/>
  <c r="N38" i="7" s="1"/>
  <c r="N28" i="7"/>
  <c r="N29" i="7" s="1"/>
  <c r="N31" i="7" s="1"/>
  <c r="F28" i="7"/>
  <c r="I24" i="3"/>
  <c r="I25" i="3" s="1"/>
  <c r="I40" i="3"/>
  <c r="I41" i="3" s="1"/>
  <c r="I43" i="3" s="1"/>
  <c r="S32" i="3"/>
  <c r="S33" i="3" s="1"/>
  <c r="S35" i="3" s="1"/>
  <c r="I21" i="7"/>
  <c r="M32" i="3"/>
  <c r="M33" i="3" s="1"/>
  <c r="F35" i="7"/>
  <c r="K35" i="7"/>
  <c r="R40" i="3"/>
  <c r="R41" i="3" s="1"/>
  <c r="R43" i="3" s="1"/>
  <c r="M24" i="3"/>
  <c r="M25" i="3" s="1"/>
  <c r="K28" i="7"/>
  <c r="I35" i="7"/>
  <c r="F21" i="7"/>
  <c r="M13" i="3"/>
  <c r="M17" i="3" s="1"/>
  <c r="Q21" i="7"/>
  <c r="Q22" i="7" s="1"/>
  <c r="Q24" i="7" s="1"/>
  <c r="Q35" i="7"/>
  <c r="Q28" i="7"/>
  <c r="S40" i="3"/>
  <c r="S41" i="3" s="1"/>
  <c r="S43" i="3" s="1"/>
  <c r="N32" i="3"/>
  <c r="N33" i="3" s="1"/>
  <c r="N35" i="3" s="1"/>
  <c r="J24" i="3"/>
  <c r="J25" i="3" s="1"/>
  <c r="N40" i="3"/>
  <c r="N41" i="3" s="1"/>
  <c r="N43" i="3" s="1"/>
  <c r="K40" i="3"/>
  <c r="K41" i="3" s="1"/>
  <c r="O33" i="3"/>
  <c r="O35" i="3" s="1"/>
  <c r="K32" i="3"/>
  <c r="K33" i="3" s="1"/>
  <c r="K35" i="3" s="1"/>
  <c r="G21" i="7"/>
  <c r="G28" i="7"/>
  <c r="E16" i="3"/>
  <c r="K13" i="3"/>
  <c r="K17" i="3" s="1"/>
  <c r="G32" i="3"/>
  <c r="G33" i="3" s="1"/>
  <c r="G35" i="3" s="1"/>
  <c r="G40" i="3"/>
  <c r="G41" i="3" s="1"/>
  <c r="G43" i="3" s="1"/>
  <c r="I13" i="3"/>
  <c r="I17" i="3" s="1"/>
  <c r="P21" i="7"/>
  <c r="F40" i="3"/>
  <c r="F41" i="3" s="1"/>
  <c r="F43" i="3" s="1"/>
  <c r="P28" i="7"/>
  <c r="Q40" i="3"/>
  <c r="Q41" i="3" s="1"/>
  <c r="F32" i="3"/>
  <c r="F33" i="3" s="1"/>
  <c r="F35" i="3" s="1"/>
  <c r="Q24" i="3"/>
  <c r="Q25" i="3" s="1"/>
  <c r="P35" i="7"/>
  <c r="P36" i="7" s="1"/>
  <c r="P38" i="7" s="1"/>
  <c r="J32" i="3"/>
  <c r="J33" i="3" s="1"/>
  <c r="J35" i="3" s="1"/>
  <c r="J41" i="3"/>
  <c r="J43" i="3" s="1"/>
  <c r="H41" i="3"/>
  <c r="H43" i="3" s="1"/>
  <c r="S13" i="3"/>
  <c r="S17" i="3" s="1"/>
  <c r="Q33" i="3"/>
  <c r="Q35" i="3" s="1"/>
  <c r="R13" i="3"/>
  <c r="R17" i="3" s="1"/>
  <c r="Q13" i="3"/>
  <c r="Q17" i="3" s="1"/>
  <c r="O13" i="3"/>
  <c r="O17" i="3" s="1"/>
  <c r="P41" i="3"/>
  <c r="P43" i="3" s="1"/>
  <c r="I33" i="3"/>
  <c r="I35" i="3" s="1"/>
  <c r="J13" i="3"/>
  <c r="N13" i="3"/>
  <c r="M41" i="3"/>
  <c r="G13" i="3"/>
  <c r="P13" i="3"/>
  <c r="P17" i="3" s="1"/>
  <c r="L33" i="3"/>
  <c r="D13" i="3"/>
  <c r="D17" i="3" s="1"/>
  <c r="D41" i="3"/>
  <c r="D43" i="3" s="1"/>
  <c r="F13" i="3"/>
  <c r="F17" i="3" s="1"/>
  <c r="J17" i="7" l="1"/>
  <c r="J16" i="7"/>
  <c r="Q17" i="7"/>
  <c r="Q16" i="7"/>
  <c r="F22" i="7"/>
  <c r="F24" i="7" s="1"/>
  <c r="K29" i="7"/>
  <c r="K31" i="7" s="1"/>
  <c r="J22" i="7"/>
  <c r="J24" i="7" s="1"/>
  <c r="L37" i="7"/>
  <c r="K36" i="7"/>
  <c r="K38" i="7" s="1"/>
  <c r="E22" i="7"/>
  <c r="E24" i="7" s="1"/>
  <c r="N22" i="7"/>
  <c r="Q29" i="7"/>
  <c r="Q31" i="7" s="1"/>
  <c r="H36" i="7"/>
  <c r="H38" i="7" s="1"/>
  <c r="S22" i="7"/>
  <c r="S24" i="7" s="1"/>
  <c r="E36" i="7"/>
  <c r="E38" i="7" s="1"/>
  <c r="F29" i="7"/>
  <c r="F31" i="7" s="1"/>
  <c r="P29" i="7"/>
  <c r="P31" i="7" s="1"/>
  <c r="P22" i="7"/>
  <c r="P24" i="7" s="1"/>
  <c r="Q36" i="7"/>
  <c r="Q38" i="7" s="1"/>
  <c r="H22" i="7"/>
  <c r="H24" i="7" s="1"/>
  <c r="M31" i="7"/>
  <c r="M30" i="7"/>
  <c r="F17" i="7"/>
  <c r="F16" i="7"/>
  <c r="P17" i="7"/>
  <c r="P16" i="7"/>
  <c r="D16" i="7"/>
  <c r="R22" i="7"/>
  <c r="G36" i="7"/>
  <c r="R16" i="7"/>
  <c r="M13" i="7"/>
  <c r="M17" i="7" s="1"/>
  <c r="D36" i="7"/>
  <c r="L30" i="7"/>
  <c r="F36" i="7"/>
  <c r="F38" i="7" s="1"/>
  <c r="E29" i="7"/>
  <c r="E31" i="7" s="1"/>
  <c r="M22" i="7"/>
  <c r="M24" i="7" s="1"/>
  <c r="S36" i="7"/>
  <c r="I29" i="7"/>
  <c r="I22" i="7"/>
  <c r="I24" i="7" s="1"/>
  <c r="R36" i="7"/>
  <c r="G29" i="7"/>
  <c r="G31" i="7" s="1"/>
  <c r="H29" i="7"/>
  <c r="H31" i="7" s="1"/>
  <c r="D22" i="7"/>
  <c r="R29" i="7"/>
  <c r="I36" i="7"/>
  <c r="I38" i="7" s="1"/>
  <c r="G22" i="7"/>
  <c r="G24" i="7" s="1"/>
  <c r="K22" i="7"/>
  <c r="D29" i="7"/>
  <c r="L16" i="7"/>
  <c r="J29" i="7"/>
  <c r="J31" i="7" s="1"/>
  <c r="J36" i="7"/>
  <c r="J38" i="7" s="1"/>
  <c r="S23" i="7"/>
  <c r="O23" i="7"/>
  <c r="S16" i="7"/>
  <c r="O30" i="7"/>
  <c r="O16" i="7"/>
  <c r="O37" i="7"/>
  <c r="L23" i="7"/>
  <c r="M37" i="7"/>
  <c r="L17" i="3"/>
  <c r="L16" i="3"/>
  <c r="S30" i="7"/>
  <c r="H16" i="3"/>
  <c r="H37" i="7"/>
  <c r="H16" i="7"/>
  <c r="F30" i="7"/>
  <c r="N16" i="7"/>
  <c r="E16" i="7"/>
  <c r="E42" i="3"/>
  <c r="E26" i="3"/>
  <c r="N37" i="7"/>
  <c r="J23" i="7"/>
  <c r="I16" i="7"/>
  <c r="K16" i="7"/>
  <c r="N30" i="7"/>
  <c r="E34" i="3"/>
  <c r="Q23" i="7"/>
  <c r="K37" i="7"/>
  <c r="J42" i="3"/>
  <c r="M16" i="3"/>
  <c r="P23" i="7"/>
  <c r="K16" i="3"/>
  <c r="I16" i="3"/>
  <c r="O34" i="3"/>
  <c r="N27" i="3"/>
  <c r="G16" i="7"/>
  <c r="S42" i="3"/>
  <c r="P37" i="7"/>
  <c r="G27" i="3"/>
  <c r="H26" i="3"/>
  <c r="N16" i="3"/>
  <c r="N17" i="3"/>
  <c r="Q26" i="3"/>
  <c r="Q27" i="3"/>
  <c r="Q42" i="3"/>
  <c r="Q43" i="3"/>
  <c r="M42" i="3"/>
  <c r="M43" i="3"/>
  <c r="O42" i="3"/>
  <c r="O43" i="3"/>
  <c r="I26" i="3"/>
  <c r="I27" i="3"/>
  <c r="R26" i="3"/>
  <c r="R27" i="3"/>
  <c r="J16" i="3"/>
  <c r="J17" i="3"/>
  <c r="K26" i="3"/>
  <c r="K27" i="3"/>
  <c r="P26" i="3"/>
  <c r="P27" i="3"/>
  <c r="J26" i="3"/>
  <c r="J27" i="3"/>
  <c r="L26" i="3"/>
  <c r="L27" i="3"/>
  <c r="H34" i="3"/>
  <c r="H35" i="3"/>
  <c r="M26" i="3"/>
  <c r="M27" i="3"/>
  <c r="L34" i="3"/>
  <c r="L35" i="3"/>
  <c r="M34" i="3"/>
  <c r="M35" i="3"/>
  <c r="K42" i="3"/>
  <c r="K43" i="3"/>
  <c r="O26" i="3"/>
  <c r="O27" i="3"/>
  <c r="R34" i="3"/>
  <c r="R35" i="3"/>
  <c r="G16" i="3"/>
  <c r="G17" i="3"/>
  <c r="S16" i="3"/>
  <c r="H42" i="3"/>
  <c r="S26" i="3"/>
  <c r="S34" i="3"/>
  <c r="F34" i="3"/>
  <c r="Q34" i="3"/>
  <c r="D34" i="3"/>
  <c r="N42" i="3"/>
  <c r="R42" i="3"/>
  <c r="R16" i="3"/>
  <c r="Q16" i="3"/>
  <c r="P42" i="3"/>
  <c r="O16" i="3"/>
  <c r="N34" i="3"/>
  <c r="J34" i="3"/>
  <c r="I34" i="3"/>
  <c r="I42" i="3"/>
  <c r="K34" i="3"/>
  <c r="P16" i="3"/>
  <c r="G34" i="3"/>
  <c r="D26" i="3"/>
  <c r="G42" i="3"/>
  <c r="P34" i="3"/>
  <c r="D16" i="3"/>
  <c r="D42" i="3"/>
  <c r="L42" i="3"/>
  <c r="F26" i="3"/>
  <c r="F16" i="3"/>
  <c r="F42" i="3"/>
  <c r="E23" i="7" l="1"/>
  <c r="I37" i="7"/>
  <c r="F37" i="7"/>
  <c r="E30" i="7"/>
  <c r="N24" i="7"/>
  <c r="N23" i="7"/>
  <c r="G23" i="7"/>
  <c r="H23" i="7"/>
  <c r="Q30" i="7"/>
  <c r="F23" i="7"/>
  <c r="P30" i="7"/>
  <c r="Q37" i="7"/>
  <c r="K30" i="7"/>
  <c r="E37" i="7"/>
  <c r="J37" i="7"/>
  <c r="J30" i="7"/>
  <c r="H30" i="7"/>
  <c r="G38" i="7"/>
  <c r="G37" i="7"/>
  <c r="I31" i="7"/>
  <c r="I30" i="7"/>
  <c r="R24" i="7"/>
  <c r="R23" i="7"/>
  <c r="S38" i="7"/>
  <c r="S37" i="7"/>
  <c r="G30" i="7"/>
  <c r="R38" i="7"/>
  <c r="R37" i="7"/>
  <c r="D38" i="7"/>
  <c r="D37" i="7"/>
  <c r="K24" i="7"/>
  <c r="K23" i="7"/>
  <c r="M23" i="7"/>
  <c r="M16" i="7"/>
  <c r="D31" i="7"/>
  <c r="D30" i="7"/>
  <c r="I23" i="7"/>
  <c r="D24" i="7"/>
  <c r="D23" i="7"/>
  <c r="R31" i="7"/>
  <c r="R3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G6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<sst xmlns="http://schemas.openxmlformats.org/spreadsheetml/2006/main" count="2297" uniqueCount="120">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</sst>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  <numFmt numFmtId="171" formatCode="[$-409]d\-mmm\-yyyy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0" fontId="21" fillId="0" borderId="0"/>
  </cellStyleXfs>
  <cellXfs count="16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25" xfId="0" applyBorder="1" applyAlignment="1">
      <alignment horizontal="right"/>
    </xf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5" fillId="6" borderId="9" xfId="0" applyFont="1" applyFill="1" applyBorder="1" applyAlignment="1">
      <alignment horizontal="center"/>
    </xf>
    <xf numFmtId="44" fontId="0" fillId="0" borderId="2" xfId="6" applyFont="1" applyBorder="1"/>
    <xf numFmtId="44" fontId="0" fillId="0" borderId="4" xfId="6" applyFont="1" applyBorder="1"/>
    <xf numFmtId="0" fontId="0" fillId="0" borderId="5" xfId="0" applyBorder="1"/>
    <xf numFmtId="44" fontId="1" fillId="0" borderId="4" xfId="0" applyNumberFormat="1" applyFont="1" applyBorder="1"/>
    <xf numFmtId="0" fontId="15" fillId="6" borderId="7" xfId="0" applyFont="1" applyFill="1" applyBorder="1" applyAlignment="1">
      <alignment horizontal="center" vertical="center"/>
    </xf>
    <xf numFmtId="171" fontId="0" fillId="0" borderId="3" xfId="0" applyNumberFormat="1" applyBorder="1" applyAlignment="1">
      <alignment horizontal="center"/>
    </xf>
    <xf numFmtId="171" fontId="0" fillId="0" borderId="5" xfId="0" applyNumberFormat="1" applyBorder="1" applyAlignment="1">
      <alignment horizontal="center"/>
    </xf>
    <xf numFmtId="0" fontId="18" fillId="6" borderId="2" xfId="0" applyFont="1" applyFill="1" applyBorder="1" applyAlignment="1">
      <alignment horizontal="centerContinuous" vertical="center"/>
    </xf>
    <xf numFmtId="0" fontId="18" fillId="6" borderId="3" xfId="0" applyFont="1" applyFill="1" applyBorder="1" applyAlignment="1">
      <alignment horizontal="centerContinuous" vertical="center"/>
    </xf>
    <xf numFmtId="0" fontId="18" fillId="6" borderId="40" xfId="0" applyFont="1" applyFill="1" applyBorder="1" applyAlignment="1">
      <alignment horizontal="centerContinuous" vertical="center"/>
    </xf>
    <xf numFmtId="0" fontId="10" fillId="2" borderId="24" xfId="0" applyFont="1" applyFill="1" applyBorder="1" applyAlignment="1">
      <alignment horizontal="centerContinuous" vertical="center"/>
    </xf>
    <xf numFmtId="0" fontId="3" fillId="2" borderId="24" xfId="0" applyFont="1" applyFill="1" applyBorder="1" applyAlignment="1">
      <alignment horizontal="centerContinuous" vertical="center"/>
    </xf>
  </cellXfs>
  <cellStyles count="8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Normal 2" xfId="7" xr:uid="{0B34D634-C877-438C-AD9F-5152E777BCC8}"/>
    <cellStyle name="Percent" xfId="1" builtinId="5"/>
  </cellStyles>
  <dxfs count="14">
    <dxf>
      <numFmt numFmtId="171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71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161925</xdr:rowOff>
        </xdr:from>
        <xdr:to>
          <xdr:col>1</xdr:col>
          <xdr:colOff>714375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8499DD-8D17-4833-9AA8-FD68DE0BF189}" name="ProfitTable" displayName="ProfitTable" ref="F4:G23" totalsRowCount="1" headerRowDxfId="11" headerRowBorderDxfId="12" tableBorderDxfId="13">
  <autoFilter ref="F4:G22" xr:uid="{238499DD-8D17-4833-9AA8-FD68DE0BF189}">
    <filterColumn colId="0" hiddenButton="1"/>
    <filterColumn colId="1" hiddenButton="1"/>
  </autoFilter>
  <tableColumns count="2">
    <tableColumn id="1" xr3:uid="{34E01CD7-5E1F-4AF4-974F-B394CD72DC31}" name="Date" totalsRowLabel="Total" dataDxfId="2"/>
    <tableColumn id="2" xr3:uid="{1A28A165-771D-4B12-92BE-3F5B7AFAC020}" name="Amount" totalsRowFunction="sum" dataDxfId="3" totalsRowDxfId="10" dataCellStyle="Currency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30699C-E33E-4C4F-AFD9-71844144A5BC}" name="ExpenseTable" displayName="ExpenseTable" ref="B4:D33" totalsRowCount="1" headerRowDxfId="9" headerRowBorderDxfId="7" tableBorderDxfId="8">
  <autoFilter ref="B4:D32" xr:uid="{C930699C-E33E-4C4F-AFD9-71844144A5BC}">
    <filterColumn colId="0" hiddenButton="1"/>
    <filterColumn colId="1" hiddenButton="1"/>
    <filterColumn colId="2" hiddenButton="1"/>
  </autoFilter>
  <tableColumns count="3">
    <tableColumn id="1" xr3:uid="{E4C78122-07DA-4245-B0A9-532EC40DC15B}" name="Date" totalsRowLabel="Total" dataDxfId="0"/>
    <tableColumn id="2" xr3:uid="{38C93123-F773-4EF3-A6D6-0F0F4B95AE61}" name="Item" dataDxfId="1" totalsRowDxfId="6"/>
    <tableColumn id="3" xr3:uid="{F544BB8B-517B-402A-A290-B981677C5A29}" name="Cost" totalsRowFunction="sum" dataDxfId="4" totalsRowDxfId="5" dataCellStyle="Currency" totalsRow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showGridLines="0" zoomScaleNormal="100" workbookViewId="0">
      <selection activeCell="J5" sqref="J5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27">
        <v>44454</v>
      </c>
      <c r="C2" s="128"/>
    </row>
    <row r="3" spans="1:23" ht="15.75" thickBot="1" x14ac:dyDescent="0.3">
      <c r="D3" s="1"/>
      <c r="H3" s="1"/>
    </row>
    <row r="4" spans="1:23" ht="15.75" thickBot="1" x14ac:dyDescent="0.3">
      <c r="A4" s="133" t="s">
        <v>46</v>
      </c>
      <c r="B4" s="134"/>
      <c r="C4" s="58">
        <v>701.95500000000004</v>
      </c>
      <c r="D4" s="1"/>
      <c r="H4" s="1"/>
    </row>
    <row r="5" spans="1:23" ht="15.75" thickBot="1" x14ac:dyDescent="0.3">
      <c r="A5" s="129" t="s">
        <v>113</v>
      </c>
      <c r="B5" s="130"/>
      <c r="C5" s="57">
        <v>4530.5</v>
      </c>
    </row>
    <row r="6" spans="1:23" s="6" customFormat="1" ht="15.75" thickBot="1" x14ac:dyDescent="0.3">
      <c r="A6" s="129" t="s">
        <v>109</v>
      </c>
      <c r="B6" s="130"/>
      <c r="C6" s="57">
        <v>14046</v>
      </c>
    </row>
    <row r="7" spans="1:23" s="6" customFormat="1" ht="15.75" thickBot="1" x14ac:dyDescent="0.3">
      <c r="A7" s="131" t="s">
        <v>112</v>
      </c>
      <c r="B7" s="132"/>
      <c r="C7" s="57">
        <v>6454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13" t="s">
        <v>104</v>
      </c>
      <c r="V9" s="113" t="s">
        <v>105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14"/>
      <c r="V10" s="114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15"/>
      <c r="V11" s="115">
        <v>240</v>
      </c>
      <c r="W11" s="63">
        <v>285</v>
      </c>
    </row>
    <row r="12" spans="1:23" ht="16.5" thickBot="1" x14ac:dyDescent="0.3">
      <c r="A12" s="103" t="s">
        <v>62</v>
      </c>
      <c r="B12" s="104">
        <v>530</v>
      </c>
      <c r="C12" s="104">
        <v>550</v>
      </c>
      <c r="D12" s="104">
        <v>550</v>
      </c>
      <c r="E12" s="104">
        <v>850</v>
      </c>
      <c r="F12" s="104">
        <v>650</v>
      </c>
      <c r="G12" s="104">
        <v>750</v>
      </c>
      <c r="H12" s="104">
        <v>850</v>
      </c>
      <c r="I12" s="104">
        <v>900</v>
      </c>
      <c r="J12" s="104">
        <v>950</v>
      </c>
      <c r="K12" s="104">
        <v>950</v>
      </c>
      <c r="L12" s="104">
        <v>1100</v>
      </c>
      <c r="M12" s="104">
        <v>1200</v>
      </c>
      <c r="N12" s="104">
        <v>850</v>
      </c>
      <c r="O12" s="104">
        <v>1500</v>
      </c>
      <c r="P12" s="104">
        <v>1050</v>
      </c>
      <c r="Q12" s="104">
        <v>1750</v>
      </c>
      <c r="R12" s="104"/>
      <c r="S12" s="104">
        <v>1500</v>
      </c>
      <c r="T12" s="104">
        <v>2350</v>
      </c>
      <c r="U12" s="116"/>
      <c r="V12" s="116">
        <v>2250</v>
      </c>
      <c r="W12" s="65">
        <v>3500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E45"/>
  <sheetViews>
    <sheetView showGridLines="0" tabSelected="1" zoomScaleNormal="100" zoomScaleSheetLayoutView="115" workbookViewId="0">
      <selection activeCell="T20" sqref="T20"/>
    </sheetView>
  </sheetViews>
  <sheetFormatPr defaultColWidth="0" defaultRowHeight="15" zeroHeight="1" x14ac:dyDescent="0.25"/>
  <cols>
    <col min="1" max="1" width="4.5703125" style="6" customWidth="1"/>
    <col min="2" max="2" width="6.42578125" customWidth="1"/>
    <col min="3" max="3" width="22.140625" bestFit="1" customWidth="1"/>
    <col min="4" max="5" width="7.5703125" style="6" customWidth="1"/>
    <col min="6" max="7" width="7.5703125" customWidth="1"/>
    <col min="8" max="8" width="7.5703125" style="6" customWidth="1"/>
    <col min="9" max="19" width="7.5703125" customWidth="1"/>
    <col min="20" max="20" width="4.5703125" customWidth="1"/>
    <col min="21" max="22" width="9.140625" hidden="1" customWidth="1"/>
    <col min="23" max="23" width="10" hidden="1" customWidth="1"/>
    <col min="24" max="31" width="0" hidden="1" customWidth="1"/>
    <col min="32" max="16384" width="9.140625" hidden="1"/>
  </cols>
  <sheetData>
    <row r="1" spans="2:31" s="6" customFormat="1" x14ac:dyDescent="0.25"/>
    <row r="2" spans="2:31" s="6" customFormat="1" ht="31.5" x14ac:dyDescent="0.25">
      <c r="B2" s="158" t="s">
        <v>78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</row>
    <row r="3" spans="2:31" s="6" customFormat="1" x14ac:dyDescent="0.25">
      <c r="B3" s="159" t="s">
        <v>44</v>
      </c>
      <c r="C3" s="159"/>
      <c r="D3" s="127">
        <f>'Card Data'!$B$2</f>
        <v>44454</v>
      </c>
      <c r="E3" s="128"/>
      <c r="F3"/>
      <c r="Q3" s="126"/>
      <c r="R3" s="126"/>
      <c r="S3" s="126" t="s">
        <v>49</v>
      </c>
      <c r="W3"/>
      <c r="X3"/>
      <c r="Y3"/>
      <c r="Z3"/>
      <c r="AA3"/>
      <c r="AB3"/>
      <c r="AC3"/>
      <c r="AD3"/>
      <c r="AE3"/>
    </row>
    <row r="4" spans="2:31" s="6" customFormat="1" ht="15.75" thickBot="1" x14ac:dyDescent="0.3">
      <c r="W4"/>
      <c r="X4"/>
      <c r="Y4"/>
      <c r="Z4"/>
      <c r="AA4"/>
      <c r="AB4"/>
      <c r="AC4"/>
      <c r="AD4"/>
      <c r="AE4"/>
    </row>
    <row r="5" spans="2:31" ht="15.75" thickBot="1" x14ac:dyDescent="0.3">
      <c r="B5" s="135" t="s">
        <v>32</v>
      </c>
      <c r="C5" s="138" t="s">
        <v>56</v>
      </c>
      <c r="D5" s="139"/>
      <c r="E5" s="59">
        <f>'Electricity Calculations'!$G$6</f>
        <v>10.324999999999999</v>
      </c>
      <c r="F5" s="1"/>
      <c r="G5" s="138" t="s">
        <v>50</v>
      </c>
      <c r="H5" s="139"/>
      <c r="I5" s="57">
        <f>'Card Data'!$C$5</f>
        <v>4530.5</v>
      </c>
      <c r="J5" s="1"/>
      <c r="K5" s="138" t="s">
        <v>111</v>
      </c>
      <c r="L5" s="139"/>
      <c r="M5" s="57">
        <f>'Card Data'!$C$7</f>
        <v>6454</v>
      </c>
      <c r="O5" s="133" t="s">
        <v>48</v>
      </c>
      <c r="P5" s="134"/>
      <c r="Q5" s="140">
        <f>$M$5*$M$6*$I$5/$E$6/10000</f>
        <v>9.0654533410261333</v>
      </c>
    </row>
    <row r="6" spans="2:31" s="6" customFormat="1" ht="15.75" thickBot="1" x14ac:dyDescent="0.3">
      <c r="B6" s="136"/>
      <c r="C6" s="138" t="s">
        <v>46</v>
      </c>
      <c r="D6" s="139"/>
      <c r="E6" s="58">
        <f>'Card Data'!$C$4</f>
        <v>701.95500000000004</v>
      </c>
      <c r="F6" s="1"/>
      <c r="G6" s="138" t="s">
        <v>110</v>
      </c>
      <c r="H6" s="139"/>
      <c r="I6" s="57">
        <f>'Card Data'!$C$6</f>
        <v>14046</v>
      </c>
      <c r="J6" s="1"/>
      <c r="K6" s="138" t="s">
        <v>39</v>
      </c>
      <c r="L6" s="139"/>
      <c r="M6" s="59">
        <f>$I$6/$M$5</f>
        <v>2.1763247598388595</v>
      </c>
      <c r="O6" s="142"/>
      <c r="P6" s="143"/>
      <c r="Q6" s="141"/>
      <c r="R6"/>
      <c r="S6"/>
      <c r="T6"/>
      <c r="U6"/>
      <c r="V6"/>
      <c r="W6"/>
      <c r="X6"/>
      <c r="Y6"/>
      <c r="Z6"/>
      <c r="AA6"/>
      <c r="AB6"/>
      <c r="AC6"/>
      <c r="AD6"/>
    </row>
    <row r="7" spans="2:31" s="6" customFormat="1" ht="15.75" thickBot="1" x14ac:dyDescent="0.3">
      <c r="B7" s="136"/>
      <c r="W7"/>
      <c r="X7"/>
      <c r="Y7"/>
      <c r="Z7"/>
      <c r="AA7"/>
      <c r="AB7"/>
      <c r="AC7"/>
      <c r="AD7"/>
      <c r="AE7"/>
    </row>
    <row r="8" spans="2:31" ht="15.75" thickBot="1" x14ac:dyDescent="0.3">
      <c r="B8" s="136"/>
      <c r="C8" s="7" t="s">
        <v>0</v>
      </c>
      <c r="D8" s="9">
        <v>1070</v>
      </c>
      <c r="E8" s="82" t="s">
        <v>74</v>
      </c>
      <c r="F8" s="10">
        <v>1080</v>
      </c>
      <c r="G8" s="10" t="s">
        <v>11</v>
      </c>
      <c r="H8" s="10" t="s">
        <v>45</v>
      </c>
      <c r="I8" s="10">
        <v>2060</v>
      </c>
      <c r="J8" s="10" t="s">
        <v>1</v>
      </c>
      <c r="K8" s="10">
        <v>2070</v>
      </c>
      <c r="L8" s="10" t="s">
        <v>13</v>
      </c>
      <c r="M8" s="10">
        <v>2080</v>
      </c>
      <c r="N8" s="10" t="s">
        <v>14</v>
      </c>
      <c r="O8" s="10" t="s">
        <v>60</v>
      </c>
      <c r="P8" s="10" t="s">
        <v>12</v>
      </c>
      <c r="Q8" s="10">
        <v>3070</v>
      </c>
      <c r="R8" s="10">
        <v>3080</v>
      </c>
      <c r="S8" s="11">
        <v>3090</v>
      </c>
    </row>
    <row r="9" spans="2:31" x14ac:dyDescent="0.25">
      <c r="B9" s="136"/>
      <c r="C9" s="26" t="s">
        <v>51</v>
      </c>
      <c r="D9" s="61">
        <f>$Q$5*D10/100</f>
        <v>2.7196360023078396</v>
      </c>
      <c r="E9" s="83">
        <f>$Q$5*E10/100</f>
        <v>2.8918796157873361</v>
      </c>
      <c r="F9" s="27">
        <f t="shared" ref="F9:S9" si="0">$Q$5*F10/100</f>
        <v>3.0822541359488853</v>
      </c>
      <c r="G9" s="27">
        <f t="shared" si="0"/>
        <v>4.1701085368720214</v>
      </c>
      <c r="H9" s="27">
        <f t="shared" si="0"/>
        <v>2.7196360023078396</v>
      </c>
      <c r="I9" s="27">
        <f t="shared" si="0"/>
        <v>2.9009450691283627</v>
      </c>
      <c r="J9" s="27">
        <f t="shared" si="0"/>
        <v>3.8301540365835418</v>
      </c>
      <c r="K9" s="27">
        <f t="shared" si="0"/>
        <v>3.9887994700514984</v>
      </c>
      <c r="L9" s="27">
        <f t="shared" si="0"/>
        <v>3.8981449366412373</v>
      </c>
      <c r="M9" s="27">
        <f t="shared" si="0"/>
        <v>3.8981449366412373</v>
      </c>
      <c r="N9" s="27">
        <f t="shared" si="0"/>
        <v>3.8256213099130285</v>
      </c>
      <c r="O9" s="27">
        <f t="shared" si="0"/>
        <v>5.3667483778874718</v>
      </c>
      <c r="P9" s="27">
        <f t="shared" si="0"/>
        <v>5.4845992713208105</v>
      </c>
      <c r="Q9" s="27">
        <f t="shared" si="0"/>
        <v>5.4900385433254266</v>
      </c>
      <c r="R9" s="27">
        <f t="shared" si="0"/>
        <v>8.4308716071543035</v>
      </c>
      <c r="S9" s="28">
        <f t="shared" si="0"/>
        <v>10.878544009231359</v>
      </c>
      <c r="T9" s="2"/>
    </row>
    <row r="10" spans="2:31" x14ac:dyDescent="0.25">
      <c r="B10" s="136"/>
      <c r="C10" s="15" t="s">
        <v>10</v>
      </c>
      <c r="D10" s="78">
        <f>INDEX('Card Data'!$10:$10,MATCH('Nvidia Analysis'!D$8,'Card Data'!$9:$9,0))</f>
        <v>30</v>
      </c>
      <c r="E10" s="84">
        <f>INDEX('Card Data'!$10:$10,MATCH('Nvidia Analysis'!E$8,'Card Data'!$9:$9,0))</f>
        <v>31.9</v>
      </c>
      <c r="F10" s="79">
        <f>INDEX('Card Data'!$10:$10,MATCH('Nvidia Analysis'!F$8,'Card Data'!$9:$9,0))</f>
        <v>34</v>
      </c>
      <c r="G10" s="79">
        <f>INDEX('Card Data'!$10:$10,MATCH('Nvidia Analysis'!G$8,'Card Data'!$9:$9,0))</f>
        <v>46</v>
      </c>
      <c r="H10" s="79">
        <f>INDEX('Card Data'!$10:$10,MATCH('Nvidia Analysis'!H$8,'Card Data'!$9:$9,0))</f>
        <v>30</v>
      </c>
      <c r="I10" s="79">
        <f>INDEX('Card Data'!$10:$10,MATCH('Nvidia Analysis'!I$8,'Card Data'!$9:$9,0))</f>
        <v>32</v>
      </c>
      <c r="J10" s="79">
        <f>INDEX('Card Data'!$10:$10,MATCH('Nvidia Analysis'!J$8,'Card Data'!$9:$9,0))</f>
        <v>42.25</v>
      </c>
      <c r="K10" s="79">
        <f>INDEX('Card Data'!$10:$10,MATCH('Nvidia Analysis'!K$8,'Card Data'!$9:$9,0))</f>
        <v>44</v>
      </c>
      <c r="L10" s="79">
        <f>INDEX('Card Data'!$10:$10,MATCH('Nvidia Analysis'!L$8,'Card Data'!$9:$9,0))</f>
        <v>43</v>
      </c>
      <c r="M10" s="79">
        <f>INDEX('Card Data'!$10:$10,MATCH('Nvidia Analysis'!M$8,'Card Data'!$9:$9,0))</f>
        <v>43</v>
      </c>
      <c r="N10" s="79">
        <f>INDEX('Card Data'!$10:$10,MATCH('Nvidia Analysis'!N$8,'Card Data'!$9:$9,0))</f>
        <v>42.2</v>
      </c>
      <c r="O10" s="79">
        <f>INDEX('Card Data'!$10:$10,MATCH('Nvidia Analysis'!O$8,'Card Data'!$9:$9,0))</f>
        <v>59.2</v>
      </c>
      <c r="P10" s="79">
        <f>INDEX('Card Data'!$10:$10,MATCH('Nvidia Analysis'!P$8,'Card Data'!$9:$9,0))</f>
        <v>60.5</v>
      </c>
      <c r="Q10" s="79">
        <f>INDEX('Card Data'!$10:$10,MATCH('Nvidia Analysis'!Q$8,'Card Data'!$9:$9,0))</f>
        <v>60.56</v>
      </c>
      <c r="R10" s="79">
        <f>INDEX('Card Data'!$10:$10,MATCH('Nvidia Analysis'!R$8,'Card Data'!$9:$9,0))</f>
        <v>93</v>
      </c>
      <c r="S10" s="80">
        <f>INDEX('Card Data'!$10:$10,MATCH('Nvidia Analysis'!S$8,'Card Data'!$9:$9,0))</f>
        <v>120</v>
      </c>
      <c r="U10" s="2"/>
    </row>
    <row r="11" spans="2:31" x14ac:dyDescent="0.25">
      <c r="B11" s="136"/>
      <c r="C11" s="29" t="s">
        <v>36</v>
      </c>
      <c r="D11" s="30">
        <f>INDEX('Card Data'!$11:$11,MATCH('Nvidia Analysis'!D$8,'Card Data'!$9:$9,0))</f>
        <v>120</v>
      </c>
      <c r="E11" s="85">
        <f>INDEX('Card Data'!$11:$11,MATCH('Nvidia Analysis'!E$8,'Card Data'!$9:$9,0))</f>
        <v>135</v>
      </c>
      <c r="F11" s="31">
        <f>INDEX('Card Data'!$11:$11,MATCH('Nvidia Analysis'!F$8,'Card Data'!$9:$9,0))</f>
        <v>170</v>
      </c>
      <c r="G11" s="31">
        <f>INDEX('Card Data'!$11:$11,MATCH('Nvidia Analysis'!G$8,'Card Data'!$9:$9,0))</f>
        <v>240</v>
      </c>
      <c r="H11" s="31">
        <f>INDEX('Card Data'!$11:$11,MATCH('Nvidia Analysis'!H$8,'Card Data'!$9:$9,0))</f>
        <v>90</v>
      </c>
      <c r="I11" s="31">
        <f>INDEX('Card Data'!$11:$11,MATCH('Nvidia Analysis'!I$8,'Card Data'!$9:$9,0))</f>
        <v>90</v>
      </c>
      <c r="J11" s="31">
        <f>INDEX('Card Data'!$11:$11,MATCH('Nvidia Analysis'!J$8,'Card Data'!$9:$9,0))</f>
        <v>110</v>
      </c>
      <c r="K11" s="31">
        <f>INDEX('Card Data'!$11:$11,MATCH('Nvidia Analysis'!K$8,'Card Data'!$9:$9,0))</f>
        <v>120</v>
      </c>
      <c r="L11" s="31">
        <f>INDEX('Card Data'!$11:$11,MATCH('Nvidia Analysis'!L$8,'Card Data'!$9:$9,0))</f>
        <v>125</v>
      </c>
      <c r="M11" s="31">
        <f>INDEX('Card Data'!$11:$11,MATCH('Nvidia Analysis'!M$8,'Card Data'!$9:$9,0))</f>
        <v>108</v>
      </c>
      <c r="N11" s="31">
        <f>INDEX('Card Data'!$11:$11,MATCH('Nvidia Analysis'!N$8,'Card Data'!$9:$9,0))</f>
        <v>140</v>
      </c>
      <c r="O11" s="31">
        <f>INDEX('Card Data'!$11:$11,MATCH('Nvidia Analysis'!O$8,'Card Data'!$9:$9,0))</f>
        <v>230</v>
      </c>
      <c r="P11" s="31">
        <f>INDEX('Card Data'!$11:$11,MATCH('Nvidia Analysis'!P$8,'Card Data'!$9:$9,0))</f>
        <v>120</v>
      </c>
      <c r="Q11" s="31">
        <f>INDEX('Card Data'!$11:$11,MATCH('Nvidia Analysis'!Q$8,'Card Data'!$9:$9,0))</f>
        <v>120</v>
      </c>
      <c r="R11" s="31">
        <f>INDEX('Card Data'!$11:$11,MATCH('Nvidia Analysis'!R$8,'Card Data'!$9:$9,0))</f>
        <v>260</v>
      </c>
      <c r="S11" s="32">
        <f>INDEX('Card Data'!$11:$11,MATCH('Nvidia Analysis'!S$8,'Card Data'!$9:$9,0))</f>
        <v>285</v>
      </c>
      <c r="U11" s="2"/>
    </row>
    <row r="12" spans="2:31" x14ac:dyDescent="0.25">
      <c r="B12" s="136"/>
      <c r="C12" s="15" t="s">
        <v>55</v>
      </c>
      <c r="D12" s="16">
        <f t="shared" ref="D12:S12" si="1">D11*24/1000*$E$5/100</f>
        <v>0.29735999999999996</v>
      </c>
      <c r="E12" s="86">
        <f t="shared" si="1"/>
        <v>0.33453000000000005</v>
      </c>
      <c r="F12" s="17">
        <f t="shared" si="1"/>
        <v>0.42125999999999997</v>
      </c>
      <c r="G12" s="17">
        <f t="shared" si="1"/>
        <v>0.59471999999999992</v>
      </c>
      <c r="H12" s="17">
        <f t="shared" si="1"/>
        <v>0.22302</v>
      </c>
      <c r="I12" s="17">
        <f t="shared" si="1"/>
        <v>0.22302</v>
      </c>
      <c r="J12" s="17">
        <f t="shared" si="1"/>
        <v>0.27257999999999999</v>
      </c>
      <c r="K12" s="17">
        <f t="shared" si="1"/>
        <v>0.29735999999999996</v>
      </c>
      <c r="L12" s="17">
        <f t="shared" si="1"/>
        <v>0.30974999999999997</v>
      </c>
      <c r="M12" s="17">
        <f t="shared" si="1"/>
        <v>0.26762399999999997</v>
      </c>
      <c r="N12" s="17">
        <f t="shared" si="1"/>
        <v>0.34691999999999995</v>
      </c>
      <c r="O12" s="17">
        <f t="shared" si="1"/>
        <v>0.56993999999999989</v>
      </c>
      <c r="P12" s="17">
        <f t="shared" si="1"/>
        <v>0.29735999999999996</v>
      </c>
      <c r="Q12" s="17">
        <f t="shared" si="1"/>
        <v>0.29735999999999996</v>
      </c>
      <c r="R12" s="17">
        <f t="shared" si="1"/>
        <v>0.64427999999999996</v>
      </c>
      <c r="S12" s="18">
        <f t="shared" si="1"/>
        <v>0.70622999999999991</v>
      </c>
    </row>
    <row r="13" spans="2:31" ht="17.25" x14ac:dyDescent="0.25">
      <c r="B13" s="136"/>
      <c r="C13" s="29" t="s">
        <v>52</v>
      </c>
      <c r="D13" s="33">
        <f t="shared" ref="D13:S13" si="2">D9-D12</f>
        <v>2.4222760023078398</v>
      </c>
      <c r="E13" s="87">
        <f t="shared" ref="E13" si="3">E9-E12</f>
        <v>2.5573496157873361</v>
      </c>
      <c r="F13" s="34">
        <f t="shared" si="2"/>
        <v>2.6609941359488856</v>
      </c>
      <c r="G13" s="34">
        <f t="shared" si="2"/>
        <v>3.5753885368720217</v>
      </c>
      <c r="H13" s="34">
        <f t="shared" ref="H13" si="4">H9-H12</f>
        <v>2.4966160023078396</v>
      </c>
      <c r="I13" s="34">
        <f>I9-I12</f>
        <v>2.6779250691283627</v>
      </c>
      <c r="J13" s="34">
        <f t="shared" si="2"/>
        <v>3.5575740365835418</v>
      </c>
      <c r="K13" s="34">
        <f t="shared" si="2"/>
        <v>3.6914394700514985</v>
      </c>
      <c r="L13" s="34">
        <f t="shared" si="2"/>
        <v>3.5883949366412375</v>
      </c>
      <c r="M13" s="34">
        <f t="shared" si="2"/>
        <v>3.6305209366412372</v>
      </c>
      <c r="N13" s="34">
        <f t="shared" si="2"/>
        <v>3.4787013099130286</v>
      </c>
      <c r="O13" s="34">
        <f t="shared" si="2"/>
        <v>4.7968083778874719</v>
      </c>
      <c r="P13" s="34">
        <f t="shared" si="2"/>
        <v>5.1872392713208102</v>
      </c>
      <c r="Q13" s="34">
        <f t="shared" si="2"/>
        <v>5.1926785433254263</v>
      </c>
      <c r="R13" s="34">
        <f t="shared" si="2"/>
        <v>7.7865916071543033</v>
      </c>
      <c r="S13" s="35">
        <f t="shared" si="2"/>
        <v>10.172314009231359</v>
      </c>
    </row>
    <row r="14" spans="2:31" ht="17.25" x14ac:dyDescent="0.25">
      <c r="B14" s="136"/>
      <c r="C14" s="15" t="s">
        <v>53</v>
      </c>
      <c r="D14" s="19">
        <f>INDEX('Card Data'!$12:$12,MATCH('Nvidia Analysis'!D$8,'Card Data'!$9:$9,0))</f>
        <v>530</v>
      </c>
      <c r="E14" s="88">
        <f>INDEX('Card Data'!$12:$12,MATCH('Nvidia Analysis'!E$8,'Card Data'!$9:$9,0))</f>
        <v>550</v>
      </c>
      <c r="F14" s="20">
        <f>INDEX('Card Data'!$12:$12,MATCH('Nvidia Analysis'!F$8,'Card Data'!$9:$9,0))</f>
        <v>550</v>
      </c>
      <c r="G14" s="20">
        <f>INDEX('Card Data'!$12:$12,MATCH('Nvidia Analysis'!G$8,'Card Data'!$9:$9,0))</f>
        <v>850</v>
      </c>
      <c r="H14" s="20">
        <f>INDEX('Card Data'!$12:$12,MATCH('Nvidia Analysis'!H$8,'Card Data'!$9:$9,0))</f>
        <v>650</v>
      </c>
      <c r="I14" s="20">
        <f>INDEX('Card Data'!$12:$12,MATCH('Nvidia Analysis'!I$8,'Card Data'!$9:$9,0))</f>
        <v>750</v>
      </c>
      <c r="J14" s="20">
        <f>INDEX('Card Data'!$12:$12,MATCH('Nvidia Analysis'!J$8,'Card Data'!$9:$9,0))</f>
        <v>850</v>
      </c>
      <c r="K14" s="20">
        <f>INDEX('Card Data'!$12:$12,MATCH('Nvidia Analysis'!K$8,'Card Data'!$9:$9,0))</f>
        <v>900</v>
      </c>
      <c r="L14" s="20">
        <f>INDEX('Card Data'!$12:$12,MATCH('Nvidia Analysis'!L$8,'Card Data'!$9:$9,0))</f>
        <v>950</v>
      </c>
      <c r="M14" s="20">
        <f>INDEX('Card Data'!$12:$12,MATCH('Nvidia Analysis'!M$8,'Card Data'!$9:$9,0))</f>
        <v>950</v>
      </c>
      <c r="N14" s="20">
        <f>INDEX('Card Data'!$12:$12,MATCH('Nvidia Analysis'!N$8,'Card Data'!$9:$9,0))</f>
        <v>1100</v>
      </c>
      <c r="O14" s="20">
        <f>INDEX('Card Data'!$12:$12,MATCH('Nvidia Analysis'!O$8,'Card Data'!$9:$9,0))</f>
        <v>1200</v>
      </c>
      <c r="P14" s="20">
        <f>INDEX('Card Data'!$12:$12,MATCH('Nvidia Analysis'!P$8,'Card Data'!$9:$9,0))</f>
        <v>1500</v>
      </c>
      <c r="Q14" s="20">
        <f>INDEX('Card Data'!$12:$12,MATCH('Nvidia Analysis'!Q$8,'Card Data'!$9:$9,0))</f>
        <v>1750</v>
      </c>
      <c r="R14" s="20">
        <f>INDEX('Card Data'!$12:$12,MATCH('Nvidia Analysis'!R$8,'Card Data'!$9:$9,0))</f>
        <v>2350</v>
      </c>
      <c r="S14" s="21">
        <f>INDEX('Card Data'!$12:$12,MATCH('Nvidia Analysis'!S$8,'Card Data'!$9:$9,0))</f>
        <v>3500</v>
      </c>
    </row>
    <row r="15" spans="2:31" x14ac:dyDescent="0.25">
      <c r="B15" s="136"/>
      <c r="C15" s="29" t="s">
        <v>59</v>
      </c>
      <c r="D15" s="75">
        <f>D10/D11*1000</f>
        <v>250</v>
      </c>
      <c r="E15" s="89">
        <f>E10/E11*1000</f>
        <v>236.29629629629628</v>
      </c>
      <c r="F15" s="76">
        <f t="shared" ref="F15:S15" si="5">F10/F11*1000</f>
        <v>200</v>
      </c>
      <c r="G15" s="76">
        <f t="shared" si="5"/>
        <v>191.66666666666669</v>
      </c>
      <c r="H15" s="76">
        <f t="shared" si="5"/>
        <v>333.33333333333331</v>
      </c>
      <c r="I15" s="76">
        <f t="shared" si="5"/>
        <v>355.55555555555554</v>
      </c>
      <c r="J15" s="76">
        <f t="shared" si="5"/>
        <v>384.09090909090912</v>
      </c>
      <c r="K15" s="76">
        <f t="shared" si="5"/>
        <v>366.66666666666663</v>
      </c>
      <c r="L15" s="76">
        <f t="shared" si="5"/>
        <v>344</v>
      </c>
      <c r="M15" s="76">
        <f t="shared" si="5"/>
        <v>398.14814814814815</v>
      </c>
      <c r="N15" s="76">
        <f t="shared" si="5"/>
        <v>301.42857142857144</v>
      </c>
      <c r="O15" s="76">
        <f t="shared" si="5"/>
        <v>257.39130434782606</v>
      </c>
      <c r="P15" s="76">
        <f t="shared" si="5"/>
        <v>504.16666666666663</v>
      </c>
      <c r="Q15" s="76">
        <f t="shared" si="5"/>
        <v>504.66666666666669</v>
      </c>
      <c r="R15" s="76">
        <f t="shared" si="5"/>
        <v>357.69230769230768</v>
      </c>
      <c r="S15" s="77">
        <f t="shared" si="5"/>
        <v>421.05263157894734</v>
      </c>
    </row>
    <row r="16" spans="2:31" x14ac:dyDescent="0.25">
      <c r="B16" s="136"/>
      <c r="C16" s="15" t="s">
        <v>54</v>
      </c>
      <c r="D16" s="39">
        <f t="shared" ref="D16:E16" si="6">D14/D13</f>
        <v>218.80248142451106</v>
      </c>
      <c r="E16" s="90">
        <f t="shared" si="6"/>
        <v>215.06640961590637</v>
      </c>
      <c r="F16" s="40">
        <f t="shared" ref="F16:S16" si="7">F14/F13</f>
        <v>206.68967006343107</v>
      </c>
      <c r="G16" s="40">
        <f t="shared" si="7"/>
        <v>237.7364001797786</v>
      </c>
      <c r="H16" s="40">
        <f t="shared" ref="H16" si="8">H14/H13</f>
        <v>260.35241278560596</v>
      </c>
      <c r="I16" s="40">
        <f t="shared" si="7"/>
        <v>280.06758241526052</v>
      </c>
      <c r="J16" s="40">
        <f t="shared" si="7"/>
        <v>238.92686174882354</v>
      </c>
      <c r="K16" s="40">
        <f t="shared" si="7"/>
        <v>243.80732971559311</v>
      </c>
      <c r="L16" s="40">
        <f>L14/L13</f>
        <v>264.74231983205465</v>
      </c>
      <c r="M16" s="40">
        <f t="shared" si="7"/>
        <v>261.67043699213286</v>
      </c>
      <c r="N16" s="40">
        <f t="shared" si="7"/>
        <v>316.20995940795541</v>
      </c>
      <c r="O16" s="40">
        <f t="shared" si="7"/>
        <v>250.1663409219785</v>
      </c>
      <c r="P16" s="40">
        <f t="shared" si="7"/>
        <v>289.17116052332398</v>
      </c>
      <c r="Q16" s="40">
        <f t="shared" si="7"/>
        <v>337.01296650635499</v>
      </c>
      <c r="R16" s="40">
        <f t="shared" si="7"/>
        <v>301.80085441245245</v>
      </c>
      <c r="S16" s="41">
        <f t="shared" si="7"/>
        <v>344.07117169443995</v>
      </c>
    </row>
    <row r="17" spans="2:31" ht="18" thickBot="1" x14ac:dyDescent="0.3">
      <c r="B17" s="136"/>
      <c r="C17" s="8" t="s">
        <v>40</v>
      </c>
      <c r="D17" s="36">
        <f>IFERROR(D13*365/D14,"N/A")</f>
        <v>1.6681712091365313</v>
      </c>
      <c r="E17" s="91">
        <f t="shared" ref="E17:S17" si="9">IFERROR(E13*365/E14,"N/A")</f>
        <v>1.6971501995679594</v>
      </c>
      <c r="F17" s="37">
        <f t="shared" si="9"/>
        <v>1.7659324720388059</v>
      </c>
      <c r="G17" s="37">
        <f t="shared" si="9"/>
        <v>1.5353139011273975</v>
      </c>
      <c r="H17" s="37">
        <f t="shared" si="9"/>
        <v>1.4019459089882484</v>
      </c>
      <c r="I17" s="37">
        <f t="shared" si="9"/>
        <v>1.3032568669758033</v>
      </c>
      <c r="J17" s="37">
        <f t="shared" si="9"/>
        <v>1.5276641451211679</v>
      </c>
      <c r="K17" s="37">
        <f t="shared" si="9"/>
        <v>1.4970837850764411</v>
      </c>
      <c r="L17" s="37">
        <f t="shared" si="9"/>
        <v>1.3786991072358439</v>
      </c>
      <c r="M17" s="37">
        <f t="shared" si="9"/>
        <v>1.3948843598674228</v>
      </c>
      <c r="N17" s="37">
        <f t="shared" si="9"/>
        <v>1.1542963437438685</v>
      </c>
      <c r="O17" s="37">
        <f t="shared" si="9"/>
        <v>1.4590292149407726</v>
      </c>
      <c r="P17" s="37">
        <f t="shared" si="9"/>
        <v>1.2622282226880639</v>
      </c>
      <c r="Q17" s="37">
        <f t="shared" si="9"/>
        <v>1.0830443818935889</v>
      </c>
      <c r="R17" s="37">
        <f t="shared" si="9"/>
        <v>1.2094067815367322</v>
      </c>
      <c r="S17" s="38">
        <f t="shared" si="9"/>
        <v>1.0608270323912703</v>
      </c>
    </row>
    <row r="18" spans="2:31" s="6" customFormat="1" x14ac:dyDescent="0.25">
      <c r="B18" s="136"/>
      <c r="C18" s="117" t="s">
        <v>41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9"/>
      <c r="W18"/>
      <c r="X18"/>
      <c r="Y18"/>
      <c r="Z18"/>
      <c r="AA18"/>
      <c r="AB18"/>
      <c r="AC18"/>
      <c r="AD18"/>
      <c r="AE18"/>
    </row>
    <row r="19" spans="2:31" ht="15.75" x14ac:dyDescent="0.25">
      <c r="B19" s="136"/>
      <c r="C19" s="120" t="s">
        <v>43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2:31" ht="16.5" thickBot="1" x14ac:dyDescent="0.3">
      <c r="B20" s="137"/>
      <c r="C20" s="123" t="s">
        <v>42</v>
      </c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</row>
    <row r="21" spans="2:31" ht="15.75" thickBot="1" x14ac:dyDescent="0.3"/>
    <row r="22" spans="2:31" ht="15.75" thickBot="1" x14ac:dyDescent="0.3">
      <c r="B22" s="135" t="s">
        <v>18</v>
      </c>
      <c r="C22" s="108" t="s">
        <v>33</v>
      </c>
      <c r="D22" s="60">
        <f>1-2/$M$6</f>
        <v>8.1019507333048524E-2</v>
      </c>
      <c r="E22" s="92"/>
    </row>
    <row r="23" spans="2:31" ht="15.75" customHeight="1" thickBot="1" x14ac:dyDescent="0.3">
      <c r="B23" s="136"/>
      <c r="C23" s="3" t="s">
        <v>0</v>
      </c>
      <c r="D23" s="23">
        <f>D$8</f>
        <v>1070</v>
      </c>
      <c r="E23" s="82" t="s">
        <v>74</v>
      </c>
      <c r="F23" s="24">
        <f t="shared" ref="F23:S23" si="10">F$8</f>
        <v>1080</v>
      </c>
      <c r="G23" s="24" t="str">
        <f t="shared" si="10"/>
        <v>1080 Ti</v>
      </c>
      <c r="H23" s="24" t="str">
        <f t="shared" si="10"/>
        <v>1660s</v>
      </c>
      <c r="I23" s="24">
        <f t="shared" si="10"/>
        <v>2060</v>
      </c>
      <c r="J23" s="24" t="str">
        <f t="shared" si="10"/>
        <v>2060s</v>
      </c>
      <c r="K23" s="24">
        <f t="shared" si="10"/>
        <v>2070</v>
      </c>
      <c r="L23" s="24" t="str">
        <f t="shared" si="10"/>
        <v>2070s</v>
      </c>
      <c r="M23" s="24">
        <f t="shared" si="10"/>
        <v>2080</v>
      </c>
      <c r="N23" s="24" t="str">
        <f t="shared" si="10"/>
        <v>2080s</v>
      </c>
      <c r="O23" s="24" t="str">
        <f t="shared" si="10"/>
        <v>2080 Ti</v>
      </c>
      <c r="P23" s="24" t="str">
        <f t="shared" si="10"/>
        <v>3060 Ti</v>
      </c>
      <c r="Q23" s="24">
        <f t="shared" si="10"/>
        <v>3070</v>
      </c>
      <c r="R23" s="24">
        <f t="shared" si="10"/>
        <v>3080</v>
      </c>
      <c r="S23" s="25">
        <f t="shared" si="10"/>
        <v>3090</v>
      </c>
    </row>
    <row r="24" spans="2:31" x14ac:dyDescent="0.25">
      <c r="B24" s="136"/>
      <c r="C24" s="42" t="s">
        <v>35</v>
      </c>
      <c r="D24" s="43">
        <f t="shared" ref="D24:S24" si="11">D$9*(1-$D$22)</f>
        <v>2.4992924332756368</v>
      </c>
      <c r="E24" s="93">
        <f t="shared" si="11"/>
        <v>2.6575809540497604</v>
      </c>
      <c r="F24" s="44">
        <f t="shared" si="11"/>
        <v>2.8325314243790554</v>
      </c>
      <c r="G24" s="44">
        <f t="shared" si="11"/>
        <v>3.8322483976893102</v>
      </c>
      <c r="H24" s="44">
        <f t="shared" si="11"/>
        <v>2.4992924332756368</v>
      </c>
      <c r="I24" s="44">
        <f t="shared" si="11"/>
        <v>2.6659119288273465</v>
      </c>
      <c r="J24" s="44">
        <f t="shared" si="11"/>
        <v>3.5198368435298559</v>
      </c>
      <c r="K24" s="44">
        <f t="shared" si="11"/>
        <v>3.665628902137601</v>
      </c>
      <c r="L24" s="44">
        <f t="shared" si="11"/>
        <v>3.5823191543617465</v>
      </c>
      <c r="M24" s="44">
        <f t="shared" si="11"/>
        <v>3.5823191543617465</v>
      </c>
      <c r="N24" s="44">
        <f t="shared" si="11"/>
        <v>3.5156713561410631</v>
      </c>
      <c r="O24" s="44">
        <f t="shared" si="11"/>
        <v>4.9319370683305914</v>
      </c>
      <c r="P24" s="44">
        <f t="shared" si="11"/>
        <v>5.0402397404392012</v>
      </c>
      <c r="Q24" s="44">
        <f t="shared" si="11"/>
        <v>5.0452383253057533</v>
      </c>
      <c r="R24" s="44">
        <f t="shared" si="11"/>
        <v>7.7478065431544749</v>
      </c>
      <c r="S24" s="45">
        <f t="shared" si="11"/>
        <v>9.9971697331025471</v>
      </c>
    </row>
    <row r="25" spans="2:31" x14ac:dyDescent="0.25">
      <c r="B25" s="136"/>
      <c r="C25" s="22" t="s">
        <v>17</v>
      </c>
      <c r="D25" s="50">
        <f t="shared" ref="D25:S25" si="12">D24-D$12</f>
        <v>2.2019324332756369</v>
      </c>
      <c r="E25" s="94">
        <f t="shared" ref="E25" si="13">E24-E$12</f>
        <v>2.3230509540497604</v>
      </c>
      <c r="F25" s="51">
        <f t="shared" si="12"/>
        <v>2.4112714243790556</v>
      </c>
      <c r="G25" s="51">
        <f t="shared" si="12"/>
        <v>3.2375283976893101</v>
      </c>
      <c r="H25" s="51">
        <f t="shared" ref="H25" si="14">H24-H$12</f>
        <v>2.2762724332756368</v>
      </c>
      <c r="I25" s="51">
        <f t="shared" si="12"/>
        <v>2.4428919288273465</v>
      </c>
      <c r="J25" s="51">
        <f t="shared" si="12"/>
        <v>3.2472568435298559</v>
      </c>
      <c r="K25" s="51">
        <f t="shared" si="12"/>
        <v>3.3682689021376011</v>
      </c>
      <c r="L25" s="51">
        <f t="shared" si="12"/>
        <v>3.2725691543617463</v>
      </c>
      <c r="M25" s="51">
        <f t="shared" si="12"/>
        <v>3.3146951543617464</v>
      </c>
      <c r="N25" s="51">
        <f t="shared" si="12"/>
        <v>3.1687513561410632</v>
      </c>
      <c r="O25" s="51">
        <f t="shared" si="12"/>
        <v>4.3619970683305915</v>
      </c>
      <c r="P25" s="51">
        <f t="shared" si="12"/>
        <v>4.7428797404392009</v>
      </c>
      <c r="Q25" s="51">
        <f t="shared" si="12"/>
        <v>4.747878325305753</v>
      </c>
      <c r="R25" s="51">
        <f t="shared" si="12"/>
        <v>7.1035265431544747</v>
      </c>
      <c r="S25" s="52">
        <f t="shared" si="12"/>
        <v>9.2909397331025474</v>
      </c>
    </row>
    <row r="26" spans="2:31" x14ac:dyDescent="0.25">
      <c r="B26" s="136"/>
      <c r="C26" s="46" t="s">
        <v>15</v>
      </c>
      <c r="D26" s="47">
        <f t="shared" ref="D26:S26" si="15">IF(D25&gt;0,D$14/D25,"N/A")</f>
        <v>240.69766719025154</v>
      </c>
      <c r="E26" s="95">
        <f t="shared" ref="E26" si="16">IF(E25&gt;0,E$14/E25,"N/A")</f>
        <v>236.75761353455826</v>
      </c>
      <c r="F26" s="48">
        <f t="shared" si="15"/>
        <v>228.09543315582343</v>
      </c>
      <c r="G26" s="48">
        <f t="shared" si="15"/>
        <v>262.54595962977879</v>
      </c>
      <c r="H26" s="48">
        <f t="shared" ref="H26" si="17">IF(H25&gt;0,H$14/H25,"N/A")</f>
        <v>285.55457180695498</v>
      </c>
      <c r="I26" s="48">
        <f t="shared" si="15"/>
        <v>307.0131720317321</v>
      </c>
      <c r="J26" s="48">
        <f t="shared" si="15"/>
        <v>261.75939907359685</v>
      </c>
      <c r="K26" s="48">
        <f t="shared" si="15"/>
        <v>267.19956931848105</v>
      </c>
      <c r="L26" s="48">
        <f t="shared" si="15"/>
        <v>290.29180291998438</v>
      </c>
      <c r="M26" s="48">
        <f t="shared" si="15"/>
        <v>286.60252474497162</v>
      </c>
      <c r="N26" s="48">
        <f t="shared" si="15"/>
        <v>347.13989088105382</v>
      </c>
      <c r="O26" s="48">
        <f t="shared" si="15"/>
        <v>275.10334858140101</v>
      </c>
      <c r="P26" s="48">
        <f t="shared" si="15"/>
        <v>316.26355338731332</v>
      </c>
      <c r="Q26" s="48">
        <f t="shared" si="15"/>
        <v>368.58568819522219</v>
      </c>
      <c r="R26" s="48">
        <f t="shared" si="15"/>
        <v>330.82159765625818</v>
      </c>
      <c r="S26" s="49">
        <f t="shared" si="15"/>
        <v>376.71108634252607</v>
      </c>
    </row>
    <row r="27" spans="2:31" ht="15.75" thickBot="1" x14ac:dyDescent="0.3">
      <c r="B27" s="136"/>
      <c r="C27" s="53" t="s">
        <v>16</v>
      </c>
      <c r="D27" s="54">
        <f>IFERROR(D25*365/D$14,"N/A")</f>
        <v>1.5164251663124668</v>
      </c>
      <c r="E27" s="96">
        <f t="shared" ref="E27:S27" si="18">IFERROR(E25*365/E$14,"N/A")</f>
        <v>1.5416610876875683</v>
      </c>
      <c r="F27" s="55">
        <f t="shared" si="18"/>
        <v>1.6002073998151916</v>
      </c>
      <c r="G27" s="55">
        <f t="shared" si="18"/>
        <v>1.3902327825371745</v>
      </c>
      <c r="H27" s="55">
        <f t="shared" si="18"/>
        <v>1.2782145202240114</v>
      </c>
      <c r="I27" s="55">
        <f t="shared" si="18"/>
        <v>1.1888740720293087</v>
      </c>
      <c r="J27" s="55">
        <f t="shared" si="18"/>
        <v>1.3944102916334087</v>
      </c>
      <c r="K27" s="55">
        <f t="shared" si="18"/>
        <v>1.3660201658669162</v>
      </c>
      <c r="L27" s="55">
        <f t="shared" si="18"/>
        <v>1.2573555172021447</v>
      </c>
      <c r="M27" s="55">
        <f t="shared" si="18"/>
        <v>1.2735407698337236</v>
      </c>
      <c r="N27" s="55">
        <f t="shared" si="18"/>
        <v>1.0514493136286256</v>
      </c>
      <c r="O27" s="55">
        <f t="shared" si="18"/>
        <v>1.3267741082838884</v>
      </c>
      <c r="P27" s="55">
        <f t="shared" si="18"/>
        <v>1.1541007368402056</v>
      </c>
      <c r="Q27" s="55">
        <f t="shared" si="18"/>
        <v>0.99027176499234271</v>
      </c>
      <c r="R27" s="55">
        <f t="shared" si="18"/>
        <v>1.1033136971282482</v>
      </c>
      <c r="S27" s="56">
        <f t="shared" si="18"/>
        <v>0.9689122864521228</v>
      </c>
    </row>
    <row r="28" spans="2:31" ht="108.75" customHeight="1" thickBot="1" x14ac:dyDescent="0.3">
      <c r="B28" s="137"/>
      <c r="C28" s="144" t="s">
        <v>38</v>
      </c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  <c r="S28" s="146"/>
    </row>
    <row r="29" spans="2:31" ht="15.75" thickBot="1" x14ac:dyDescent="0.3"/>
    <row r="30" spans="2:31" ht="15.75" thickBot="1" x14ac:dyDescent="0.3">
      <c r="B30" s="135" t="s">
        <v>19</v>
      </c>
      <c r="C30" s="108" t="s">
        <v>33</v>
      </c>
      <c r="D30" s="60">
        <f>1-83/1405</f>
        <v>0.94092526690391454</v>
      </c>
      <c r="E30" s="92"/>
    </row>
    <row r="31" spans="2:31" ht="15.75" customHeight="1" thickBot="1" x14ac:dyDescent="0.3">
      <c r="B31" s="136"/>
      <c r="C31" s="3" t="s">
        <v>0</v>
      </c>
      <c r="D31" s="23">
        <f>D$8</f>
        <v>1070</v>
      </c>
      <c r="E31" s="82" t="s">
        <v>74</v>
      </c>
      <c r="F31" s="24">
        <f t="shared" ref="F31:S31" si="19">F$8</f>
        <v>1080</v>
      </c>
      <c r="G31" s="24" t="str">
        <f t="shared" si="19"/>
        <v>1080 Ti</v>
      </c>
      <c r="H31" s="24" t="str">
        <f t="shared" si="19"/>
        <v>1660s</v>
      </c>
      <c r="I31" s="24">
        <f t="shared" si="19"/>
        <v>2060</v>
      </c>
      <c r="J31" s="24" t="str">
        <f t="shared" si="19"/>
        <v>2060s</v>
      </c>
      <c r="K31" s="24">
        <f t="shared" si="19"/>
        <v>2070</v>
      </c>
      <c r="L31" s="24" t="str">
        <f t="shared" si="19"/>
        <v>2070s</v>
      </c>
      <c r="M31" s="24">
        <f t="shared" si="19"/>
        <v>2080</v>
      </c>
      <c r="N31" s="24" t="str">
        <f t="shared" si="19"/>
        <v>2080s</v>
      </c>
      <c r="O31" s="24" t="str">
        <f t="shared" si="19"/>
        <v>2080 Ti</v>
      </c>
      <c r="P31" s="24" t="str">
        <f t="shared" si="19"/>
        <v>3060 Ti</v>
      </c>
      <c r="Q31" s="24">
        <f t="shared" si="19"/>
        <v>3070</v>
      </c>
      <c r="R31" s="24">
        <f t="shared" si="19"/>
        <v>3080</v>
      </c>
      <c r="S31" s="25">
        <f t="shared" si="19"/>
        <v>3090</v>
      </c>
    </row>
    <row r="32" spans="2:31" x14ac:dyDescent="0.25">
      <c r="B32" s="136"/>
      <c r="C32" s="42" t="s">
        <v>35</v>
      </c>
      <c r="D32" s="43">
        <f t="shared" ref="D32:S32" si="20">D$9*(1-$D$30)</f>
        <v>0.16066177095484049</v>
      </c>
      <c r="E32" s="93">
        <f t="shared" si="20"/>
        <v>0.17083701644864704</v>
      </c>
      <c r="F32" s="44">
        <f t="shared" si="20"/>
        <v>0.18208334041548591</v>
      </c>
      <c r="G32" s="44">
        <f t="shared" si="20"/>
        <v>0.24634804879742214</v>
      </c>
      <c r="H32" s="44">
        <f t="shared" si="20"/>
        <v>0.16066177095484049</v>
      </c>
      <c r="I32" s="44">
        <f t="shared" si="20"/>
        <v>0.17137255568516321</v>
      </c>
      <c r="J32" s="44">
        <f t="shared" si="20"/>
        <v>0.2262653274280671</v>
      </c>
      <c r="K32" s="44">
        <f t="shared" si="20"/>
        <v>0.23563726406709939</v>
      </c>
      <c r="L32" s="44">
        <f t="shared" si="20"/>
        <v>0.23028187170193806</v>
      </c>
      <c r="M32" s="44">
        <f t="shared" si="20"/>
        <v>0.23028187170193806</v>
      </c>
      <c r="N32" s="44">
        <f t="shared" si="20"/>
        <v>0.22599755780980901</v>
      </c>
      <c r="O32" s="44">
        <f t="shared" si="20"/>
        <v>0.31703922801755202</v>
      </c>
      <c r="P32" s="44">
        <f t="shared" si="20"/>
        <v>0.32400123809226172</v>
      </c>
      <c r="Q32" s="44">
        <f t="shared" si="20"/>
        <v>0.32432256163417139</v>
      </c>
      <c r="R32" s="44">
        <f t="shared" si="20"/>
        <v>0.49805148996000559</v>
      </c>
      <c r="S32" s="45">
        <f t="shared" si="20"/>
        <v>0.64264708381936198</v>
      </c>
    </row>
    <row r="33" spans="2:19" x14ac:dyDescent="0.25">
      <c r="B33" s="136"/>
      <c r="C33" s="22" t="s">
        <v>17</v>
      </c>
      <c r="D33" s="50">
        <f t="shared" ref="D33:S33" si="21">D32-D$12</f>
        <v>-0.13669822904515946</v>
      </c>
      <c r="E33" s="94">
        <f t="shared" ref="E33" si="22">E32-E$12</f>
        <v>-0.16369298355135301</v>
      </c>
      <c r="F33" s="51">
        <f t="shared" si="21"/>
        <v>-0.23917665958451406</v>
      </c>
      <c r="G33" s="51">
        <f t="shared" si="21"/>
        <v>-0.3483719512025778</v>
      </c>
      <c r="H33" s="51">
        <f t="shared" ref="H33" si="23">H32-H$12</f>
        <v>-6.2358229045159502E-2</v>
      </c>
      <c r="I33" s="51">
        <f t="shared" si="21"/>
        <v>-5.1647444314836782E-2</v>
      </c>
      <c r="J33" s="51">
        <f t="shared" si="21"/>
        <v>-4.6314672571932891E-2</v>
      </c>
      <c r="K33" s="51">
        <f t="shared" si="21"/>
        <v>-6.1722735932900563E-2</v>
      </c>
      <c r="L33" s="51">
        <f t="shared" si="21"/>
        <v>-7.9468128298061907E-2</v>
      </c>
      <c r="M33" s="51">
        <f t="shared" si="21"/>
        <v>-3.7342128298061911E-2</v>
      </c>
      <c r="N33" s="51">
        <f t="shared" si="21"/>
        <v>-0.12092244219019094</v>
      </c>
      <c r="O33" s="51">
        <f t="shared" si="21"/>
        <v>-0.25290077198244787</v>
      </c>
      <c r="P33" s="51">
        <f t="shared" si="21"/>
        <v>2.6641238092261765E-2</v>
      </c>
      <c r="Q33" s="51">
        <f t="shared" si="21"/>
        <v>2.6962561634171434E-2</v>
      </c>
      <c r="R33" s="51">
        <f t="shared" si="21"/>
        <v>-0.14622851003999437</v>
      </c>
      <c r="S33" s="52">
        <f t="shared" si="21"/>
        <v>-6.3582916180637938E-2</v>
      </c>
    </row>
    <row r="34" spans="2:19" x14ac:dyDescent="0.25">
      <c r="B34" s="136"/>
      <c r="C34" s="46" t="s">
        <v>15</v>
      </c>
      <c r="D34" s="47" t="str">
        <f t="shared" ref="D34:S34" si="24">IF(D33&gt;0,D$14/D33,"N/A")</f>
        <v>N/A</v>
      </c>
      <c r="E34" s="95" t="str">
        <f t="shared" ref="E34" si="25">IF(E33&gt;0,E$14/E33,"N/A")</f>
        <v>N/A</v>
      </c>
      <c r="F34" s="48" t="str">
        <f t="shared" si="24"/>
        <v>N/A</v>
      </c>
      <c r="G34" s="48" t="str">
        <f t="shared" si="24"/>
        <v>N/A</v>
      </c>
      <c r="H34" s="48" t="str">
        <f t="shared" ref="H34" si="26">IF(H33&gt;0,H$14/H33,"N/A")</f>
        <v>N/A</v>
      </c>
      <c r="I34" s="48" t="str">
        <f t="shared" si="24"/>
        <v>N/A</v>
      </c>
      <c r="J34" s="48" t="str">
        <f t="shared" si="24"/>
        <v>N/A</v>
      </c>
      <c r="K34" s="48" t="str">
        <f t="shared" si="24"/>
        <v>N/A</v>
      </c>
      <c r="L34" s="48" t="str">
        <f t="shared" si="24"/>
        <v>N/A</v>
      </c>
      <c r="M34" s="48" t="str">
        <f t="shared" si="24"/>
        <v>N/A</v>
      </c>
      <c r="N34" s="48" t="str">
        <f t="shared" si="24"/>
        <v>N/A</v>
      </c>
      <c r="O34" s="48" t="str">
        <f t="shared" si="24"/>
        <v>N/A</v>
      </c>
      <c r="P34" s="48">
        <f t="shared" si="24"/>
        <v>56303.689596006094</v>
      </c>
      <c r="Q34" s="48">
        <f t="shared" si="24"/>
        <v>64904.81222607979</v>
      </c>
      <c r="R34" s="48" t="str">
        <f t="shared" si="24"/>
        <v>N/A</v>
      </c>
      <c r="S34" s="49" t="str">
        <f t="shared" si="24"/>
        <v>N/A</v>
      </c>
    </row>
    <row r="35" spans="2:19" ht="15.75" thickBot="1" x14ac:dyDescent="0.3">
      <c r="B35" s="136"/>
      <c r="C35" s="53" t="s">
        <v>16</v>
      </c>
      <c r="D35" s="54">
        <f>IFERROR(D33*365/D$14,"N/A")</f>
        <v>-9.4141233210345676E-2</v>
      </c>
      <c r="E35" s="96">
        <f t="shared" ref="E35:S35" si="27">IFERROR(E33*365/E$14,"N/A")</f>
        <v>-0.10863261635680699</v>
      </c>
      <c r="F35" s="55">
        <f t="shared" si="27"/>
        <v>-0.15872632863335934</v>
      </c>
      <c r="G35" s="55">
        <f t="shared" si="27"/>
        <v>-0.14959501433993047</v>
      </c>
      <c r="H35" s="55">
        <f t="shared" si="27"/>
        <v>-3.501654400228188E-2</v>
      </c>
      <c r="I35" s="55">
        <f t="shared" si="27"/>
        <v>-2.51350895665539E-2</v>
      </c>
      <c r="J35" s="55">
        <f t="shared" si="27"/>
        <v>-1.9888065280888829E-2</v>
      </c>
      <c r="K35" s="55">
        <f t="shared" si="27"/>
        <v>-2.5031998461676339E-2</v>
      </c>
      <c r="L35" s="55">
        <f t="shared" si="27"/>
        <v>-3.0532491398729048E-2</v>
      </c>
      <c r="M35" s="55">
        <f t="shared" si="27"/>
        <v>-1.4347238767150102E-2</v>
      </c>
      <c r="N35" s="55">
        <f t="shared" si="27"/>
        <v>-4.0124264908563356E-2</v>
      </c>
      <c r="O35" s="55">
        <f t="shared" si="27"/>
        <v>-7.6923984811327895E-2</v>
      </c>
      <c r="P35" s="55">
        <f t="shared" si="27"/>
        <v>6.4827012691170294E-3</v>
      </c>
      <c r="Q35" s="55">
        <f t="shared" si="27"/>
        <v>5.6236199979843278E-3</v>
      </c>
      <c r="R35" s="55">
        <f t="shared" si="27"/>
        <v>-2.2712087729616148E-2</v>
      </c>
      <c r="S35" s="56">
        <f t="shared" si="27"/>
        <v>-6.6307898302665281E-3</v>
      </c>
    </row>
    <row r="36" spans="2:19" ht="80.25" customHeight="1" thickBot="1" x14ac:dyDescent="0.3">
      <c r="B36" s="137"/>
      <c r="C36" s="144" t="s">
        <v>47</v>
      </c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6"/>
    </row>
    <row r="37" spans="2:19" ht="15.75" thickBot="1" x14ac:dyDescent="0.3"/>
    <row r="38" spans="2:19" ht="15.75" thickBot="1" x14ac:dyDescent="0.3">
      <c r="B38" s="135" t="s">
        <v>34</v>
      </c>
      <c r="C38" s="108" t="s">
        <v>33</v>
      </c>
      <c r="D38" s="60">
        <f>1-485/1405</f>
        <v>0.65480427046263345</v>
      </c>
      <c r="E38" s="92"/>
    </row>
    <row r="39" spans="2:19" ht="15.75" thickBot="1" x14ac:dyDescent="0.3">
      <c r="B39" s="136"/>
      <c r="C39" s="3" t="s">
        <v>0</v>
      </c>
      <c r="D39" s="23">
        <f>D$8</f>
        <v>1070</v>
      </c>
      <c r="E39" s="82" t="s">
        <v>74</v>
      </c>
      <c r="F39" s="24">
        <f t="shared" ref="F39:S39" si="28">F$8</f>
        <v>1080</v>
      </c>
      <c r="G39" s="24" t="str">
        <f t="shared" si="28"/>
        <v>1080 Ti</v>
      </c>
      <c r="H39" s="24" t="str">
        <f t="shared" si="28"/>
        <v>1660s</v>
      </c>
      <c r="I39" s="24">
        <f t="shared" si="28"/>
        <v>2060</v>
      </c>
      <c r="J39" s="24" t="str">
        <f t="shared" si="28"/>
        <v>2060s</v>
      </c>
      <c r="K39" s="24">
        <f t="shared" si="28"/>
        <v>2070</v>
      </c>
      <c r="L39" s="24" t="str">
        <f t="shared" si="28"/>
        <v>2070s</v>
      </c>
      <c r="M39" s="24">
        <f t="shared" si="28"/>
        <v>2080</v>
      </c>
      <c r="N39" s="24" t="str">
        <f t="shared" si="28"/>
        <v>2080s</v>
      </c>
      <c r="O39" s="24" t="str">
        <f t="shared" si="28"/>
        <v>2080 Ti</v>
      </c>
      <c r="P39" s="24" t="str">
        <f t="shared" si="28"/>
        <v>3060 Ti</v>
      </c>
      <c r="Q39" s="24">
        <f t="shared" si="28"/>
        <v>3070</v>
      </c>
      <c r="R39" s="24">
        <f t="shared" si="28"/>
        <v>3080</v>
      </c>
      <c r="S39" s="25">
        <f t="shared" si="28"/>
        <v>3090</v>
      </c>
    </row>
    <row r="40" spans="2:19" x14ac:dyDescent="0.25">
      <c r="B40" s="136"/>
      <c r="C40" s="42" t="s">
        <v>35</v>
      </c>
      <c r="D40" s="43">
        <f t="shared" ref="D40:S40" si="29">D$9*(1-$D$38)</f>
        <v>0.93880673389274183</v>
      </c>
      <c r="E40" s="93">
        <f t="shared" si="29"/>
        <v>0.99826449370594872</v>
      </c>
      <c r="F40" s="44">
        <f t="shared" si="29"/>
        <v>1.0639809650784409</v>
      </c>
      <c r="G40" s="44">
        <f t="shared" si="29"/>
        <v>1.4395036586355376</v>
      </c>
      <c r="H40" s="44">
        <f t="shared" si="29"/>
        <v>0.93880673389274183</v>
      </c>
      <c r="I40" s="44">
        <f t="shared" si="29"/>
        <v>1.0013938494855914</v>
      </c>
      <c r="J40" s="44">
        <f t="shared" si="29"/>
        <v>1.3221528168989449</v>
      </c>
      <c r="K40" s="44">
        <f t="shared" si="29"/>
        <v>1.376916543042688</v>
      </c>
      <c r="L40" s="44">
        <f t="shared" si="29"/>
        <v>1.3456229852462633</v>
      </c>
      <c r="M40" s="44">
        <f t="shared" si="29"/>
        <v>1.3456229852462633</v>
      </c>
      <c r="N40" s="44">
        <f t="shared" si="29"/>
        <v>1.3205881390091236</v>
      </c>
      <c r="O40" s="44">
        <f t="shared" si="29"/>
        <v>1.8525786215483444</v>
      </c>
      <c r="P40" s="44">
        <f t="shared" si="29"/>
        <v>1.8932602466836961</v>
      </c>
      <c r="Q40" s="44">
        <f t="shared" si="29"/>
        <v>1.8951378601514819</v>
      </c>
      <c r="R40" s="44">
        <f t="shared" si="29"/>
        <v>2.9103008750674997</v>
      </c>
      <c r="S40" s="45">
        <f t="shared" si="29"/>
        <v>3.7552269355709673</v>
      </c>
    </row>
    <row r="41" spans="2:19" x14ac:dyDescent="0.25">
      <c r="B41" s="136"/>
      <c r="C41" s="22" t="s">
        <v>17</v>
      </c>
      <c r="D41" s="50">
        <f>D40-D$12</f>
        <v>0.64144673389274187</v>
      </c>
      <c r="E41" s="94">
        <f>E40-E$12</f>
        <v>0.66373449370594861</v>
      </c>
      <c r="F41" s="51">
        <f>F40-F$12</f>
        <v>0.6427209650784409</v>
      </c>
      <c r="G41" s="51">
        <f t="shared" ref="G41:H41" si="30">G40-G$12</f>
        <v>0.84478365863553773</v>
      </c>
      <c r="H41" s="51">
        <f t="shared" si="30"/>
        <v>0.71578673389274183</v>
      </c>
      <c r="I41" s="51">
        <f t="shared" ref="I41" si="31">I40-I$12</f>
        <v>0.77837384948559141</v>
      </c>
      <c r="J41" s="51">
        <f t="shared" ref="J41" si="32">J40-J$12</f>
        <v>1.0495728168989449</v>
      </c>
      <c r="K41" s="51">
        <f t="shared" ref="K41" si="33">K40-K$12</f>
        <v>1.0795565430426879</v>
      </c>
      <c r="L41" s="51">
        <f t="shared" ref="L41" si="34">L40-L$12</f>
        <v>1.0358729852462634</v>
      </c>
      <c r="M41" s="51">
        <f t="shared" ref="M41" si="35">M40-M$12</f>
        <v>1.0779989852462633</v>
      </c>
      <c r="N41" s="51">
        <f t="shared" ref="N41" si="36">N40-N$12</f>
        <v>0.97366813900912375</v>
      </c>
      <c r="O41" s="51">
        <f t="shared" ref="O41" si="37">O40-O$12</f>
        <v>1.2826386215483445</v>
      </c>
      <c r="P41" s="51">
        <f t="shared" ref="P41" si="38">P40-P$12</f>
        <v>1.595900246683696</v>
      </c>
      <c r="Q41" s="51">
        <f t="shared" ref="Q41" si="39">Q40-Q$12</f>
        <v>1.5977778601514818</v>
      </c>
      <c r="R41" s="51">
        <f t="shared" ref="R41" si="40">R40-R$12</f>
        <v>2.2660208750674995</v>
      </c>
      <c r="S41" s="52">
        <f>S40-S$12</f>
        <v>3.0489969355709672</v>
      </c>
    </row>
    <row r="42" spans="2:19" x14ac:dyDescent="0.25">
      <c r="B42" s="136"/>
      <c r="C42" s="46" t="s">
        <v>15</v>
      </c>
      <c r="D42" s="47">
        <f>IF(D41&gt;0,D$14/D41,"N/A")</f>
        <v>826.25722760110398</v>
      </c>
      <c r="E42" s="95">
        <f>IF(E41&gt;0,E$14/E41,"N/A")</f>
        <v>828.64459390845536</v>
      </c>
      <c r="F42" s="48">
        <f>IF(F41&gt;0,F$14/F41,"N/A")</f>
        <v>855.73682808506987</v>
      </c>
      <c r="G42" s="48">
        <f t="shared" ref="G42:H42" si="41">IF(G41&gt;0,G$14/G41,"N/A")</f>
        <v>1006.1747659429013</v>
      </c>
      <c r="H42" s="48">
        <f t="shared" si="41"/>
        <v>908.09171115121592</v>
      </c>
      <c r="I42" s="48">
        <f t="shared" ref="I42" si="42">IF(I41&gt;0,I$14/I41,"N/A")</f>
        <v>963.54727294044756</v>
      </c>
      <c r="J42" s="48">
        <f t="shared" ref="J42" si="43">IF(J41&gt;0,J$14/J41,"N/A")</f>
        <v>809.85329108598648</v>
      </c>
      <c r="K42" s="48">
        <f t="shared" ref="K42" si="44">IF(K41&gt;0,K$14/K41,"N/A")</f>
        <v>833.67564746852929</v>
      </c>
      <c r="L42" s="48">
        <f t="shared" ref="L42" si="45">IF(L41&gt;0,L$14/L41,"N/A")</f>
        <v>917.10085457451294</v>
      </c>
      <c r="M42" s="48">
        <f t="shared" ref="M42" si="46">IF(M41&gt;0,M$14/M41,"N/A")</f>
        <v>881.26242510606585</v>
      </c>
      <c r="N42" s="48">
        <f t="shared" ref="N42" si="47">IF(N41&gt;0,N$14/N41,"N/A")</f>
        <v>1129.7483772237231</v>
      </c>
      <c r="O42" s="48">
        <f t="shared" ref="O42" si="48">IF(O41&gt;0,O$14/O41,"N/A")</f>
        <v>935.57139153615469</v>
      </c>
      <c r="P42" s="48">
        <f t="shared" ref="P42" si="49">IF(P41&gt;0,P$14/P41,"N/A")</f>
        <v>939.90837028631449</v>
      </c>
      <c r="Q42" s="48">
        <f t="shared" ref="Q42" si="50">IF(Q41&gt;0,Q$14/Q41,"N/A")</f>
        <v>1095.2711535470182</v>
      </c>
      <c r="R42" s="48">
        <f t="shared" ref="R42" si="51">IF(R41&gt;0,R$14/R41,"N/A")</f>
        <v>1037.0601726826542</v>
      </c>
      <c r="S42" s="49">
        <f>IF(S41&gt;0,S$14/S41,"N/A")</f>
        <v>1147.9185036781862</v>
      </c>
    </row>
    <row r="43" spans="2:19" ht="15.75" thickBot="1" x14ac:dyDescent="0.3">
      <c r="B43" s="136"/>
      <c r="C43" s="53" t="s">
        <v>16</v>
      </c>
      <c r="D43" s="12">
        <f>IFERROR(D41*365/D$14,"N/A")</f>
        <v>0.44175105258651093</v>
      </c>
      <c r="E43" s="97">
        <f t="shared" ref="E43:S43" si="52">IFERROR(E41*365/E$14,"N/A")</f>
        <v>0.44047834582303863</v>
      </c>
      <c r="F43" s="13">
        <f t="shared" si="52"/>
        <v>0.42653300409751077</v>
      </c>
      <c r="G43" s="13">
        <f t="shared" si="52"/>
        <v>0.36276004164937797</v>
      </c>
      <c r="H43" s="13">
        <f t="shared" si="52"/>
        <v>0.40194178133977043</v>
      </c>
      <c r="I43" s="13">
        <f t="shared" si="52"/>
        <v>0.3788086067496545</v>
      </c>
      <c r="J43" s="13">
        <f t="shared" si="52"/>
        <v>0.45069891549189989</v>
      </c>
      <c r="K43" s="13">
        <f t="shared" si="52"/>
        <v>0.4378201535673123</v>
      </c>
      <c r="L43" s="13">
        <f t="shared" si="52"/>
        <v>0.39799330485777484</v>
      </c>
      <c r="M43" s="13">
        <f t="shared" si="52"/>
        <v>0.41417855748935373</v>
      </c>
      <c r="N43" s="13">
        <f t="shared" si="52"/>
        <v>0.32308079158030018</v>
      </c>
      <c r="O43" s="13">
        <f t="shared" si="52"/>
        <v>0.3901359140542881</v>
      </c>
      <c r="P43" s="13">
        <f t="shared" si="52"/>
        <v>0.38833572669303273</v>
      </c>
      <c r="Q43" s="13">
        <f t="shared" si="52"/>
        <v>0.3332508108315948</v>
      </c>
      <c r="R43" s="13">
        <f t="shared" si="52"/>
        <v>0.35195643378707969</v>
      </c>
      <c r="S43" s="14">
        <f t="shared" si="52"/>
        <v>0.31796682328097231</v>
      </c>
    </row>
    <row r="44" spans="2:19" ht="74.25" customHeight="1" thickBot="1" x14ac:dyDescent="0.3">
      <c r="B44" s="137"/>
      <c r="C44" s="144" t="s">
        <v>37</v>
      </c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6"/>
    </row>
    <row r="45" spans="2:19" x14ac:dyDescent="0.25"/>
  </sheetData>
  <mergeCells count="16">
    <mergeCell ref="B38:B44"/>
    <mergeCell ref="C44:S44"/>
    <mergeCell ref="C36:S36"/>
    <mergeCell ref="B30:B36"/>
    <mergeCell ref="B22:B28"/>
    <mergeCell ref="C28:S28"/>
    <mergeCell ref="B5:B20"/>
    <mergeCell ref="C5:D5"/>
    <mergeCell ref="C6:D6"/>
    <mergeCell ref="Q5:Q6"/>
    <mergeCell ref="K6:L6"/>
    <mergeCell ref="G5:H5"/>
    <mergeCell ref="K5:L5"/>
    <mergeCell ref="G6:H6"/>
    <mergeCell ref="O5:P6"/>
    <mergeCell ref="D3:E3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B1:W39"/>
  <sheetViews>
    <sheetView showGridLines="0" zoomScaleNormal="100" zoomScaleSheetLayoutView="115" workbookViewId="0">
      <selection activeCell="S1" sqref="N1:S33"/>
    </sheetView>
  </sheetViews>
  <sheetFormatPr defaultColWidth="0" defaultRowHeight="15" zeroHeight="1" x14ac:dyDescent="0.25"/>
  <cols>
    <col min="1" max="1" width="4.5703125" style="6" customWidth="1"/>
    <col min="2" max="2" width="6.42578125" style="6" customWidth="1"/>
    <col min="3" max="3" width="22.140625" style="6" bestFit="1" customWidth="1"/>
    <col min="4" max="19" width="7.5703125" style="6" customWidth="1"/>
    <col min="20" max="20" width="4.5703125" style="6" customWidth="1"/>
    <col min="21" max="22" width="9.140625" style="6" hidden="1" customWidth="1"/>
    <col min="23" max="23" width="10" style="6" hidden="1" customWidth="1"/>
    <col min="24" max="16384" width="9.140625" style="6" hidden="1"/>
  </cols>
  <sheetData>
    <row r="1" spans="2:21" x14ac:dyDescent="0.25"/>
    <row r="2" spans="2:21" ht="31.5" x14ac:dyDescent="0.25">
      <c r="B2" s="158" t="s">
        <v>75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</row>
    <row r="3" spans="2:21" x14ac:dyDescent="0.25">
      <c r="B3" s="159" t="s">
        <v>44</v>
      </c>
      <c r="C3" s="159"/>
      <c r="D3" s="127">
        <f>'Card Data'!$B$2</f>
        <v>44454</v>
      </c>
      <c r="E3" s="128"/>
      <c r="Q3" s="126"/>
      <c r="R3" s="126"/>
      <c r="S3" s="126" t="s">
        <v>49</v>
      </c>
    </row>
    <row r="4" spans="2:21" ht="15.75" thickBot="1" x14ac:dyDescent="0.3"/>
    <row r="5" spans="2:21" ht="15.75" thickBot="1" x14ac:dyDescent="0.3">
      <c r="B5" s="135" t="s">
        <v>32</v>
      </c>
      <c r="C5" s="138" t="s">
        <v>56</v>
      </c>
      <c r="D5" s="139"/>
      <c r="E5" s="59">
        <f>'Electricity Calculations'!$G$6</f>
        <v>10.324999999999999</v>
      </c>
      <c r="F5" s="1"/>
      <c r="G5" s="138" t="s">
        <v>50</v>
      </c>
      <c r="H5" s="139"/>
      <c r="I5" s="57">
        <f>'Card Data'!$C$5</f>
        <v>4530.5</v>
      </c>
      <c r="J5" s="1"/>
      <c r="K5" s="138" t="s">
        <v>111</v>
      </c>
      <c r="L5" s="139"/>
      <c r="M5" s="57">
        <f>'Card Data'!$C$7</f>
        <v>6454</v>
      </c>
      <c r="O5" s="133" t="s">
        <v>48</v>
      </c>
      <c r="P5" s="134"/>
      <c r="Q5" s="140">
        <f>$M$5*$M$6*$I$5/$E$6/10000</f>
        <v>9.0654533410261333</v>
      </c>
    </row>
    <row r="6" spans="2:21" ht="15.75" thickBot="1" x14ac:dyDescent="0.3">
      <c r="B6" s="136"/>
      <c r="C6" s="138" t="s">
        <v>46</v>
      </c>
      <c r="D6" s="139"/>
      <c r="E6" s="58">
        <f>'Card Data'!$C$4</f>
        <v>701.95500000000004</v>
      </c>
      <c r="F6" s="1"/>
      <c r="G6" s="138" t="s">
        <v>110</v>
      </c>
      <c r="H6" s="139"/>
      <c r="I6" s="57">
        <f>'Card Data'!$C$6</f>
        <v>14046</v>
      </c>
      <c r="J6" s="1"/>
      <c r="K6" s="138" t="s">
        <v>39</v>
      </c>
      <c r="L6" s="139"/>
      <c r="M6" s="59">
        <f>$I$6/$M$5</f>
        <v>2.1763247598388595</v>
      </c>
      <c r="O6" s="142"/>
      <c r="P6" s="143"/>
      <c r="Q6" s="141"/>
    </row>
    <row r="7" spans="2:21" ht="15.75" thickBot="1" x14ac:dyDescent="0.3">
      <c r="B7" s="136"/>
    </row>
    <row r="8" spans="2:21" ht="15.75" thickBot="1" x14ac:dyDescent="0.3">
      <c r="B8" s="136"/>
      <c r="C8" s="7" t="s">
        <v>0</v>
      </c>
      <c r="D8" s="9">
        <v>470</v>
      </c>
      <c r="E8" s="82">
        <v>480</v>
      </c>
      <c r="F8" s="10">
        <v>570</v>
      </c>
      <c r="G8" s="10">
        <v>580</v>
      </c>
      <c r="H8" s="10">
        <v>590</v>
      </c>
      <c r="I8" s="10" t="s">
        <v>71</v>
      </c>
      <c r="J8" s="10" t="s">
        <v>70</v>
      </c>
      <c r="K8" s="10">
        <v>5700</v>
      </c>
      <c r="L8" s="10" t="s">
        <v>65</v>
      </c>
      <c r="M8" s="10" t="s">
        <v>67</v>
      </c>
      <c r="N8" s="10">
        <v>6800</v>
      </c>
      <c r="O8" s="10" t="s">
        <v>68</v>
      </c>
      <c r="P8" s="10" t="s">
        <v>72</v>
      </c>
      <c r="Q8" s="10" t="s">
        <v>73</v>
      </c>
      <c r="R8" s="10" t="s">
        <v>69</v>
      </c>
      <c r="S8" s="11" t="s">
        <v>66</v>
      </c>
    </row>
    <row r="9" spans="2:21" x14ac:dyDescent="0.25">
      <c r="B9" s="136"/>
      <c r="C9" s="26" t="s">
        <v>51</v>
      </c>
      <c r="D9" s="61">
        <f t="shared" ref="D9:S9" si="0">$Q$5*D10/100</f>
        <v>2.7558978156719447</v>
      </c>
      <c r="E9" s="83">
        <f t="shared" si="0"/>
        <v>2.7558978156719447</v>
      </c>
      <c r="F9" s="27">
        <f t="shared" si="0"/>
        <v>2.7649632690129704</v>
      </c>
      <c r="G9" s="27">
        <f t="shared" si="0"/>
        <v>2.8374868957411796</v>
      </c>
      <c r="H9" s="27">
        <f t="shared" si="0"/>
        <v>2.7921596290360493</v>
      </c>
      <c r="I9" s="27">
        <f t="shared" si="0"/>
        <v>2.3570178686667949</v>
      </c>
      <c r="J9" s="27">
        <f t="shared" si="0"/>
        <v>3.3542177361796695</v>
      </c>
      <c r="K9" s="27">
        <f t="shared" si="0"/>
        <v>4.8500175374489807</v>
      </c>
      <c r="L9" s="27">
        <f t="shared" si="0"/>
        <v>4.9588029775412954</v>
      </c>
      <c r="M9" s="27">
        <f t="shared" si="0"/>
        <v>4.260763070282283</v>
      </c>
      <c r="N9" s="27">
        <f t="shared" si="0"/>
        <v>5.7474974182105685</v>
      </c>
      <c r="O9" s="27">
        <f t="shared" si="0"/>
        <v>5.83815195162083</v>
      </c>
      <c r="P9" s="27">
        <f t="shared" si="0"/>
        <v>5.8018901382567254</v>
      </c>
      <c r="Q9" s="27">
        <f t="shared" si="0"/>
        <v>3.4992649896360875</v>
      </c>
      <c r="R9" s="27">
        <f t="shared" si="0"/>
        <v>4.260763070282283</v>
      </c>
      <c r="S9" s="28">
        <f t="shared" si="0"/>
        <v>8.204235273628651</v>
      </c>
    </row>
    <row r="10" spans="2:21" x14ac:dyDescent="0.25">
      <c r="B10" s="136"/>
      <c r="C10" s="15" t="s">
        <v>10</v>
      </c>
      <c r="D10" s="78">
        <f>INDEX('Card Data'!$16:$16,MATCH('AMD Analysis'!D$8,'Card Data'!$15:$15,0))</f>
        <v>30.4</v>
      </c>
      <c r="E10" s="84">
        <f>INDEX('Card Data'!$16:$16,MATCH('AMD Analysis'!E$8,'Card Data'!$15:$15,0))</f>
        <v>30.4</v>
      </c>
      <c r="F10" s="79">
        <f>INDEX('Card Data'!$16:$16,MATCH('AMD Analysis'!F$8,'Card Data'!$15:$15,0))</f>
        <v>30.5</v>
      </c>
      <c r="G10" s="79">
        <f>INDEX('Card Data'!$16:$16,MATCH('AMD Analysis'!G$8,'Card Data'!$15:$15,0))</f>
        <v>31.3</v>
      </c>
      <c r="H10" s="79">
        <f>INDEX('Card Data'!$16:$16,MATCH('AMD Analysis'!H$8,'Card Data'!$15:$15,0))</f>
        <v>30.8</v>
      </c>
      <c r="I10" s="79">
        <f>INDEX('Card Data'!$16:$16,MATCH('AMD Analysis'!I$8,'Card Data'!$15:$15,0))</f>
        <v>26</v>
      </c>
      <c r="J10" s="79">
        <f>INDEX('Card Data'!$16:$16,MATCH('AMD Analysis'!J$8,'Card Data'!$15:$15,0))</f>
        <v>37</v>
      </c>
      <c r="K10" s="79">
        <f>INDEX('Card Data'!$16:$16,MATCH('AMD Analysis'!K$8,'Card Data'!$15:$15,0))</f>
        <v>53.5</v>
      </c>
      <c r="L10" s="79">
        <f>INDEX('Card Data'!$16:$16,MATCH('AMD Analysis'!L$8,'Card Data'!$15:$15,0))</f>
        <v>54.7</v>
      </c>
      <c r="M10" s="79">
        <f>INDEX('Card Data'!$16:$16,MATCH('AMD Analysis'!M$8,'Card Data'!$15:$15,0))</f>
        <v>47</v>
      </c>
      <c r="N10" s="79">
        <f>INDEX('Card Data'!$16:$16,MATCH('AMD Analysis'!N$8,'Card Data'!$15:$15,0))</f>
        <v>63.4</v>
      </c>
      <c r="O10" s="79">
        <f>INDEX('Card Data'!$16:$16,MATCH('AMD Analysis'!O$8,'Card Data'!$15:$15,0))</f>
        <v>64.400000000000006</v>
      </c>
      <c r="P10" s="79">
        <f>INDEX('Card Data'!$16:$16,MATCH('AMD Analysis'!P$8,'Card Data'!$15:$15,0))</f>
        <v>64</v>
      </c>
      <c r="Q10" s="79">
        <f>INDEX('Card Data'!$16:$16,MATCH('AMD Analysis'!Q$8,'Card Data'!$15:$15,0))</f>
        <v>38.6</v>
      </c>
      <c r="R10" s="79">
        <f>INDEX('Card Data'!$16:$16,MATCH('AMD Analysis'!R$8,'Card Data'!$15:$15,0))</f>
        <v>47</v>
      </c>
      <c r="S10" s="80">
        <f>INDEX('Card Data'!$16:$16,MATCH('AMD Analysis'!S$8,'Card Data'!$15:$15,0))</f>
        <v>90.5</v>
      </c>
      <c r="U10" s="2"/>
    </row>
    <row r="11" spans="2:21" x14ac:dyDescent="0.25">
      <c r="B11" s="136"/>
      <c r="C11" s="29" t="s">
        <v>36</v>
      </c>
      <c r="D11" s="30">
        <f>INDEX('Card Data'!$17:$17,MATCH('AMD Analysis'!D$8,'Card Data'!$15:$15,0))</f>
        <v>120</v>
      </c>
      <c r="E11" s="85">
        <f>INDEX('Card Data'!$17:$17,MATCH('AMD Analysis'!E$8,'Card Data'!$15:$15,0))</f>
        <v>130</v>
      </c>
      <c r="F11" s="31">
        <f>INDEX('Card Data'!$17:$17,MATCH('AMD Analysis'!F$8,'Card Data'!$15:$15,0))</f>
        <v>130</v>
      </c>
      <c r="G11" s="31">
        <f>INDEX('Card Data'!$17:$17,MATCH('AMD Analysis'!G$8,'Card Data'!$15:$15,0))</f>
        <v>130</v>
      </c>
      <c r="H11" s="31">
        <f>INDEX('Card Data'!$17:$17,MATCH('AMD Analysis'!H$8,'Card Data'!$15:$15,0))</f>
        <v>130</v>
      </c>
      <c r="I11" s="31">
        <f>INDEX('Card Data'!$17:$17,MATCH('AMD Analysis'!I$8,'Card Data'!$15:$15,0))</f>
        <v>70</v>
      </c>
      <c r="J11" s="31">
        <f>INDEX('Card Data'!$17:$17,MATCH('AMD Analysis'!J$8,'Card Data'!$15:$15,0))</f>
        <v>100</v>
      </c>
      <c r="K11" s="31">
        <f>INDEX('Card Data'!$17:$17,MATCH('AMD Analysis'!K$8,'Card Data'!$15:$15,0))</f>
        <v>160</v>
      </c>
      <c r="L11" s="31">
        <f>INDEX('Card Data'!$17:$17,MATCH('AMD Analysis'!L$8,'Card Data'!$15:$15,0))</f>
        <v>140</v>
      </c>
      <c r="M11" s="31">
        <f>INDEX('Card Data'!$17:$17,MATCH('AMD Analysis'!M$8,'Card Data'!$15:$15,0))</f>
        <v>170</v>
      </c>
      <c r="N11" s="31">
        <f>INDEX('Card Data'!$17:$17,MATCH('AMD Analysis'!N$8,'Card Data'!$15:$15,0))</f>
        <v>175</v>
      </c>
      <c r="O11" s="31">
        <f>INDEX('Card Data'!$17:$17,MATCH('AMD Analysis'!O$8,'Card Data'!$15:$15,0))</f>
        <v>190</v>
      </c>
      <c r="P11" s="31">
        <f>INDEX('Card Data'!$17:$17,MATCH('AMD Analysis'!P$8,'Card Data'!$15:$15,0))</f>
        <v>220</v>
      </c>
      <c r="Q11" s="31">
        <f>INDEX('Card Data'!$17:$17,MATCH('AMD Analysis'!Q$8,'Card Data'!$15:$15,0))</f>
        <v>215</v>
      </c>
      <c r="R11" s="31">
        <f>INDEX('Card Data'!$17:$17,MATCH('AMD Analysis'!R$8,'Card Data'!$15:$15,0))</f>
        <v>220</v>
      </c>
      <c r="S11" s="32">
        <f>INDEX('Card Data'!$17:$17,MATCH('AMD Analysis'!S$8,'Card Data'!$15:$15,0))</f>
        <v>220</v>
      </c>
      <c r="U11" s="2"/>
    </row>
    <row r="12" spans="2:21" x14ac:dyDescent="0.25">
      <c r="B12" s="136"/>
      <c r="C12" s="15" t="s">
        <v>55</v>
      </c>
      <c r="D12" s="16">
        <f>D11*24/1000*$E$5/100</f>
        <v>0.29735999999999996</v>
      </c>
      <c r="E12" s="86">
        <f t="shared" ref="E12:S12" si="1">E11*24/1000*$E$5/100</f>
        <v>0.32213999999999998</v>
      </c>
      <c r="F12" s="17">
        <f t="shared" si="1"/>
        <v>0.32213999999999998</v>
      </c>
      <c r="G12" s="17">
        <f t="shared" si="1"/>
        <v>0.32213999999999998</v>
      </c>
      <c r="H12" s="17">
        <f t="shared" si="1"/>
        <v>0.32213999999999998</v>
      </c>
      <c r="I12" s="17">
        <f t="shared" si="1"/>
        <v>0.17345999999999998</v>
      </c>
      <c r="J12" s="17">
        <f t="shared" si="1"/>
        <v>0.24779999999999996</v>
      </c>
      <c r="K12" s="17">
        <f t="shared" si="1"/>
        <v>0.39647999999999994</v>
      </c>
      <c r="L12" s="17">
        <f t="shared" si="1"/>
        <v>0.34691999999999995</v>
      </c>
      <c r="M12" s="17">
        <f t="shared" si="1"/>
        <v>0.42125999999999997</v>
      </c>
      <c r="N12" s="17">
        <f t="shared" si="1"/>
        <v>0.43365000000000004</v>
      </c>
      <c r="O12" s="17">
        <f t="shared" si="1"/>
        <v>0.47081999999999996</v>
      </c>
      <c r="P12" s="17">
        <f t="shared" si="1"/>
        <v>0.54515999999999998</v>
      </c>
      <c r="Q12" s="17">
        <f t="shared" si="1"/>
        <v>0.53276999999999997</v>
      </c>
      <c r="R12" s="17">
        <f t="shared" si="1"/>
        <v>0.54515999999999998</v>
      </c>
      <c r="S12" s="18">
        <f t="shared" si="1"/>
        <v>0.54515999999999998</v>
      </c>
    </row>
    <row r="13" spans="2:21" ht="17.25" x14ac:dyDescent="0.25">
      <c r="B13" s="136"/>
      <c r="C13" s="29" t="s">
        <v>52</v>
      </c>
      <c r="D13" s="33">
        <f t="shared" ref="D13:S13" si="2">D9-D12</f>
        <v>2.4585378156719448</v>
      </c>
      <c r="E13" s="87">
        <f t="shared" si="2"/>
        <v>2.4337578156719446</v>
      </c>
      <c r="F13" s="34">
        <f t="shared" si="2"/>
        <v>2.4428232690129703</v>
      </c>
      <c r="G13" s="34">
        <f t="shared" si="2"/>
        <v>2.5153468957411795</v>
      </c>
      <c r="H13" s="34">
        <f t="shared" si="2"/>
        <v>2.4700196290360492</v>
      </c>
      <c r="I13" s="34">
        <f>I9-I12</f>
        <v>2.1835578686667949</v>
      </c>
      <c r="J13" s="34">
        <f t="shared" si="2"/>
        <v>3.1064177361796697</v>
      </c>
      <c r="K13" s="34">
        <f t="shared" si="2"/>
        <v>4.4535375374489803</v>
      </c>
      <c r="L13" s="34">
        <f t="shared" si="2"/>
        <v>4.6118829775412955</v>
      </c>
      <c r="M13" s="34">
        <f t="shared" si="2"/>
        <v>3.8395030702822828</v>
      </c>
      <c r="N13" s="34">
        <f t="shared" si="2"/>
        <v>5.3138474182105684</v>
      </c>
      <c r="O13" s="34">
        <f t="shared" si="2"/>
        <v>5.3673319516208302</v>
      </c>
      <c r="P13" s="34">
        <f t="shared" si="2"/>
        <v>5.2567301382567253</v>
      </c>
      <c r="Q13" s="34">
        <f t="shared" si="2"/>
        <v>2.9664949896360877</v>
      </c>
      <c r="R13" s="34">
        <f t="shared" si="2"/>
        <v>3.7156030702822829</v>
      </c>
      <c r="S13" s="35">
        <f t="shared" si="2"/>
        <v>7.6590752736286509</v>
      </c>
    </row>
    <row r="14" spans="2:21" ht="17.25" x14ac:dyDescent="0.25">
      <c r="B14" s="136"/>
      <c r="C14" s="15" t="s">
        <v>53</v>
      </c>
      <c r="D14" s="19">
        <f>INDEX('Card Data'!$18:$18,MATCH('AMD Analysis'!D$8,'Card Data'!$15:$15,0))</f>
        <v>500</v>
      </c>
      <c r="E14" s="88">
        <f>INDEX('Card Data'!$18:$18,MATCH('AMD Analysis'!E$8,'Card Data'!$15:$15,0))</f>
        <v>500</v>
      </c>
      <c r="F14" s="20">
        <f>INDEX('Card Data'!$18:$18,MATCH('AMD Analysis'!F$8,'Card Data'!$15:$15,0))</f>
        <v>500</v>
      </c>
      <c r="G14" s="20">
        <f>INDEX('Card Data'!$18:$18,MATCH('AMD Analysis'!G$8,'Card Data'!$15:$15,0))</f>
        <v>500</v>
      </c>
      <c r="H14" s="20">
        <f>INDEX('Card Data'!$18:$18,MATCH('AMD Analysis'!H$8,'Card Data'!$15:$15,0))</f>
        <v>500</v>
      </c>
      <c r="I14" s="20">
        <f>INDEX('Card Data'!$18:$18,MATCH('AMD Analysis'!I$8,'Card Data'!$15:$15,0))</f>
        <v>500</v>
      </c>
      <c r="J14" s="20">
        <f>INDEX('Card Data'!$18:$18,MATCH('AMD Analysis'!J$8,'Card Data'!$15:$15,0))</f>
        <v>650</v>
      </c>
      <c r="K14" s="20">
        <f>INDEX('Card Data'!$18:$18,MATCH('AMD Analysis'!K$8,'Card Data'!$15:$15,0))</f>
        <v>900</v>
      </c>
      <c r="L14" s="20">
        <f>INDEX('Card Data'!$18:$18,MATCH('AMD Analysis'!L$8,'Card Data'!$15:$15,0))</f>
        <v>950</v>
      </c>
      <c r="M14" s="20">
        <f>INDEX('Card Data'!$18:$18,MATCH('AMD Analysis'!M$8,'Card Data'!$15:$15,0))</f>
        <v>800</v>
      </c>
      <c r="N14" s="20">
        <f>INDEX('Card Data'!$18:$18,MATCH('AMD Analysis'!N$8,'Card Data'!$15:$15,0))</f>
        <v>1300</v>
      </c>
      <c r="O14" s="20">
        <f>INDEX('Card Data'!$18:$18,MATCH('AMD Analysis'!O$8,'Card Data'!$15:$15,0))</f>
        <v>1700</v>
      </c>
      <c r="P14" s="20">
        <f>INDEX('Card Data'!$18:$18,MATCH('AMD Analysis'!P$8,'Card Data'!$15:$15,0))</f>
        <v>1600</v>
      </c>
      <c r="Q14" s="20">
        <f>INDEX('Card Data'!$18:$18,MATCH('AMD Analysis'!Q$8,'Card Data'!$15:$15,0))</f>
        <v>700</v>
      </c>
      <c r="R14" s="20">
        <f>INDEX('Card Data'!$18:$18,MATCH('AMD Analysis'!R$8,'Card Data'!$15:$15,0))</f>
        <v>850</v>
      </c>
      <c r="S14" s="21">
        <f>INDEX('Card Data'!$18:$18,MATCH('AMD Analysis'!S$8,'Card Data'!$15:$15,0))</f>
        <v>2100</v>
      </c>
    </row>
    <row r="15" spans="2:21" x14ac:dyDescent="0.25">
      <c r="B15" s="136"/>
      <c r="C15" s="29" t="s">
        <v>59</v>
      </c>
      <c r="D15" s="75">
        <f>D10/D11*1000</f>
        <v>253.33333333333329</v>
      </c>
      <c r="E15" s="89">
        <f>E10/E11*1000</f>
        <v>233.84615384615384</v>
      </c>
      <c r="F15" s="76">
        <f t="shared" ref="F15:S15" si="3">F10/F11*1000</f>
        <v>234.61538461538461</v>
      </c>
      <c r="G15" s="76">
        <f t="shared" si="3"/>
        <v>240.76923076923077</v>
      </c>
      <c r="H15" s="76">
        <f t="shared" si="3"/>
        <v>236.92307692307693</v>
      </c>
      <c r="I15" s="76">
        <f t="shared" si="3"/>
        <v>371.42857142857144</v>
      </c>
      <c r="J15" s="76">
        <f t="shared" si="3"/>
        <v>370</v>
      </c>
      <c r="K15" s="76">
        <f t="shared" si="3"/>
        <v>334.375</v>
      </c>
      <c r="L15" s="76">
        <f t="shared" si="3"/>
        <v>390.71428571428572</v>
      </c>
      <c r="M15" s="76">
        <f t="shared" si="3"/>
        <v>276.47058823529414</v>
      </c>
      <c r="N15" s="76">
        <f t="shared" si="3"/>
        <v>362.28571428571428</v>
      </c>
      <c r="O15" s="76">
        <f t="shared" si="3"/>
        <v>338.94736842105266</v>
      </c>
      <c r="P15" s="76">
        <f t="shared" si="3"/>
        <v>290.90909090909088</v>
      </c>
      <c r="Q15" s="76">
        <f t="shared" si="3"/>
        <v>179.53488372093022</v>
      </c>
      <c r="R15" s="76">
        <f t="shared" si="3"/>
        <v>213.63636363636363</v>
      </c>
      <c r="S15" s="77">
        <f t="shared" si="3"/>
        <v>411.36363636363637</v>
      </c>
    </row>
    <row r="16" spans="2:21" x14ac:dyDescent="0.25">
      <c r="B16" s="136"/>
      <c r="C16" s="15" t="s">
        <v>54</v>
      </c>
      <c r="D16" s="39">
        <f t="shared" ref="D16:S16" si="4">D14/D13</f>
        <v>203.37291410071097</v>
      </c>
      <c r="E16" s="90">
        <f t="shared" si="4"/>
        <v>205.44361348540889</v>
      </c>
      <c r="F16" s="40">
        <f t="shared" si="4"/>
        <v>204.68120078208787</v>
      </c>
      <c r="G16" s="40">
        <f t="shared" si="4"/>
        <v>198.77973922665188</v>
      </c>
      <c r="H16" s="40">
        <f t="shared" si="4"/>
        <v>202.42754111032315</v>
      </c>
      <c r="I16" s="40">
        <f t="shared" si="4"/>
        <v>228.98408472466213</v>
      </c>
      <c r="J16" s="40">
        <f t="shared" si="4"/>
        <v>209.24423409949432</v>
      </c>
      <c r="K16" s="40">
        <f t="shared" si="4"/>
        <v>202.08654186297187</v>
      </c>
      <c r="L16" s="40">
        <f t="shared" si="4"/>
        <v>205.98961522359954</v>
      </c>
      <c r="M16" s="40">
        <f t="shared" si="4"/>
        <v>208.36029698530322</v>
      </c>
      <c r="N16" s="40">
        <f t="shared" si="4"/>
        <v>244.64383293071171</v>
      </c>
      <c r="O16" s="40">
        <f t="shared" si="4"/>
        <v>316.73092242536501</v>
      </c>
      <c r="P16" s="40">
        <f t="shared" si="4"/>
        <v>304.37172118761333</v>
      </c>
      <c r="Q16" s="40">
        <f t="shared" si="4"/>
        <v>235.96871137337465</v>
      </c>
      <c r="R16" s="40">
        <f t="shared" si="4"/>
        <v>228.76501712423863</v>
      </c>
      <c r="S16" s="41">
        <f t="shared" si="4"/>
        <v>274.18453598838704</v>
      </c>
    </row>
    <row r="17" spans="2:19" ht="18" thickBot="1" x14ac:dyDescent="0.3">
      <c r="B17" s="137"/>
      <c r="C17" s="8" t="s">
        <v>40</v>
      </c>
      <c r="D17" s="36">
        <f>IFERROR(D13*365/D14,"N/A")</f>
        <v>1.7947326054405197</v>
      </c>
      <c r="E17" s="91">
        <f t="shared" ref="E17:S17" si="5">IFERROR(E13*365/E14,"N/A")</f>
        <v>1.7766432054405195</v>
      </c>
      <c r="F17" s="37">
        <f t="shared" si="5"/>
        <v>1.7832609863794682</v>
      </c>
      <c r="G17" s="37">
        <f t="shared" si="5"/>
        <v>1.836203233891061</v>
      </c>
      <c r="H17" s="37">
        <f t="shared" si="5"/>
        <v>1.8031143291963161</v>
      </c>
      <c r="I17" s="37">
        <f t="shared" si="5"/>
        <v>1.5939972441267602</v>
      </c>
      <c r="J17" s="37">
        <f t="shared" si="5"/>
        <v>1.744373036470122</v>
      </c>
      <c r="K17" s="37">
        <f t="shared" si="5"/>
        <v>1.8061568901876419</v>
      </c>
      <c r="L17" s="37">
        <f t="shared" si="5"/>
        <v>1.7719339861079715</v>
      </c>
      <c r="M17" s="37">
        <f t="shared" si="5"/>
        <v>1.7517732758162916</v>
      </c>
      <c r="N17" s="37">
        <f t="shared" si="5"/>
        <v>1.4919648520360442</v>
      </c>
      <c r="O17" s="37">
        <f t="shared" si="5"/>
        <v>1.1523977425538843</v>
      </c>
      <c r="P17" s="37">
        <f t="shared" si="5"/>
        <v>1.1991915627898155</v>
      </c>
      <c r="Q17" s="37">
        <f t="shared" si="5"/>
        <v>1.5468152445959602</v>
      </c>
      <c r="R17" s="37">
        <f t="shared" si="5"/>
        <v>1.5955236713565097</v>
      </c>
      <c r="S17" s="38">
        <f t="shared" si="5"/>
        <v>1.331220226130694</v>
      </c>
    </row>
    <row r="18" spans="2:19" ht="15.75" thickBot="1" x14ac:dyDescent="0.3"/>
    <row r="19" spans="2:19" ht="15.75" thickBot="1" x14ac:dyDescent="0.3">
      <c r="B19" s="135" t="s">
        <v>18</v>
      </c>
      <c r="C19" s="108" t="s">
        <v>33</v>
      </c>
      <c r="D19" s="60">
        <f>1-2/$M$6</f>
        <v>8.1019507333048524E-2</v>
      </c>
      <c r="E19" s="92"/>
    </row>
    <row r="20" spans="2:19" ht="15.75" customHeight="1" thickBot="1" x14ac:dyDescent="0.3">
      <c r="B20" s="136"/>
      <c r="C20" s="3" t="s">
        <v>0</v>
      </c>
      <c r="D20" s="23">
        <f>D$8</f>
        <v>470</v>
      </c>
      <c r="E20" s="82">
        <f t="shared" ref="E20:S20" si="6">E$8</f>
        <v>480</v>
      </c>
      <c r="F20" s="24">
        <f t="shared" si="6"/>
        <v>570</v>
      </c>
      <c r="G20" s="24">
        <f t="shared" si="6"/>
        <v>580</v>
      </c>
      <c r="H20" s="24">
        <f t="shared" si="6"/>
        <v>590</v>
      </c>
      <c r="I20" s="24" t="str">
        <f t="shared" si="6"/>
        <v>5500XT</v>
      </c>
      <c r="J20" s="24" t="str">
        <f t="shared" si="6"/>
        <v>5600XT</v>
      </c>
      <c r="K20" s="24">
        <f t="shared" si="6"/>
        <v>5700</v>
      </c>
      <c r="L20" s="24" t="str">
        <f t="shared" si="6"/>
        <v>5700XT</v>
      </c>
      <c r="M20" s="24" t="str">
        <f t="shared" si="6"/>
        <v>6700XT</v>
      </c>
      <c r="N20" s="24">
        <f t="shared" si="6"/>
        <v>6800</v>
      </c>
      <c r="O20" s="24" t="str">
        <f t="shared" si="6"/>
        <v>6800XT</v>
      </c>
      <c r="P20" s="24" t="str">
        <f t="shared" si="6"/>
        <v>6900XT</v>
      </c>
      <c r="Q20" s="24" t="str">
        <f t="shared" si="6"/>
        <v>Vega56</v>
      </c>
      <c r="R20" s="24" t="str">
        <f t="shared" si="6"/>
        <v>Vega64</v>
      </c>
      <c r="S20" s="25" t="str">
        <f t="shared" si="6"/>
        <v>VII</v>
      </c>
    </row>
    <row r="21" spans="2:19" x14ac:dyDescent="0.25">
      <c r="B21" s="136"/>
      <c r="C21" s="42" t="s">
        <v>35</v>
      </c>
      <c r="D21" s="43">
        <f t="shared" ref="D21:S21" si="7">D$9*(1-$D$19)</f>
        <v>2.5326163323859792</v>
      </c>
      <c r="E21" s="93">
        <f t="shared" si="7"/>
        <v>2.5326163323859792</v>
      </c>
      <c r="F21" s="44">
        <f t="shared" si="7"/>
        <v>2.5409473071635644</v>
      </c>
      <c r="G21" s="44">
        <f t="shared" si="7"/>
        <v>2.6075951053842479</v>
      </c>
      <c r="H21" s="44">
        <f t="shared" si="7"/>
        <v>2.5659402314963211</v>
      </c>
      <c r="I21" s="44">
        <f t="shared" si="7"/>
        <v>2.1660534421722191</v>
      </c>
      <c r="J21" s="44">
        <f t="shared" si="7"/>
        <v>3.0824606677066191</v>
      </c>
      <c r="K21" s="44">
        <f t="shared" si="7"/>
        <v>4.4570715060082193</v>
      </c>
      <c r="L21" s="44">
        <f t="shared" si="7"/>
        <v>4.5570432033392452</v>
      </c>
      <c r="M21" s="44">
        <f t="shared" si="7"/>
        <v>3.9155581454651651</v>
      </c>
      <c r="N21" s="44">
        <f t="shared" si="7"/>
        <v>5.2818380089891797</v>
      </c>
      <c r="O21" s="44">
        <f t="shared" si="7"/>
        <v>5.365147756765035</v>
      </c>
      <c r="P21" s="44">
        <f t="shared" si="7"/>
        <v>5.331823857654693</v>
      </c>
      <c r="Q21" s="44">
        <f t="shared" si="7"/>
        <v>3.2157562641479864</v>
      </c>
      <c r="R21" s="44">
        <f t="shared" si="7"/>
        <v>3.9155581454651651</v>
      </c>
      <c r="S21" s="45">
        <f t="shared" si="7"/>
        <v>7.5395321737148393</v>
      </c>
    </row>
    <row r="22" spans="2:19" x14ac:dyDescent="0.25">
      <c r="B22" s="136"/>
      <c r="C22" s="22" t="s">
        <v>17</v>
      </c>
      <c r="D22" s="50">
        <f t="shared" ref="D22:S22" si="8">D21-D$12</f>
        <v>2.2352563323859793</v>
      </c>
      <c r="E22" s="94">
        <f t="shared" si="8"/>
        <v>2.2104763323859791</v>
      </c>
      <c r="F22" s="51">
        <f t="shared" si="8"/>
        <v>2.2188073071635643</v>
      </c>
      <c r="G22" s="51">
        <f t="shared" si="8"/>
        <v>2.2854551053842478</v>
      </c>
      <c r="H22" s="51">
        <f t="shared" si="8"/>
        <v>2.243800231496321</v>
      </c>
      <c r="I22" s="51">
        <f t="shared" si="8"/>
        <v>1.9925934421722191</v>
      </c>
      <c r="J22" s="51">
        <f t="shared" si="8"/>
        <v>2.8346606677066193</v>
      </c>
      <c r="K22" s="51">
        <f t="shared" si="8"/>
        <v>4.0605915060082189</v>
      </c>
      <c r="L22" s="51">
        <f t="shared" si="8"/>
        <v>4.2101232033392453</v>
      </c>
      <c r="M22" s="51">
        <f t="shared" si="8"/>
        <v>3.4942981454651649</v>
      </c>
      <c r="N22" s="51">
        <f t="shared" si="8"/>
        <v>4.8481880089891796</v>
      </c>
      <c r="O22" s="51">
        <f t="shared" si="8"/>
        <v>4.8943277567650352</v>
      </c>
      <c r="P22" s="51">
        <f t="shared" si="8"/>
        <v>4.7866638576546929</v>
      </c>
      <c r="Q22" s="51">
        <f t="shared" si="8"/>
        <v>2.6829862641479867</v>
      </c>
      <c r="R22" s="51">
        <f t="shared" si="8"/>
        <v>3.370398145465165</v>
      </c>
      <c r="S22" s="52">
        <f t="shared" si="8"/>
        <v>6.9943721737148392</v>
      </c>
    </row>
    <row r="23" spans="2:19" x14ac:dyDescent="0.25">
      <c r="B23" s="136"/>
      <c r="C23" s="46" t="s">
        <v>15</v>
      </c>
      <c r="D23" s="47">
        <f t="shared" ref="D23:S23" si="9">IF(D22&gt;0,D$14/D22,"N/A")</f>
        <v>223.68799173304885</v>
      </c>
      <c r="E23" s="95">
        <f t="shared" si="9"/>
        <v>226.1955908210526</v>
      </c>
      <c r="F23" s="48">
        <f t="shared" si="9"/>
        <v>225.34629230114635</v>
      </c>
      <c r="G23" s="48">
        <f t="shared" si="9"/>
        <v>218.77480718044393</v>
      </c>
      <c r="H23" s="48">
        <f t="shared" si="9"/>
        <v>222.83623692585388</v>
      </c>
      <c r="I23" s="48">
        <f t="shared" si="9"/>
        <v>250.92926104129234</v>
      </c>
      <c r="J23" s="48">
        <f t="shared" si="9"/>
        <v>229.30434228160445</v>
      </c>
      <c r="K23" s="48">
        <f t="shared" si="9"/>
        <v>221.64258548744016</v>
      </c>
      <c r="L23" s="48">
        <f t="shared" si="9"/>
        <v>225.6466032268392</v>
      </c>
      <c r="M23" s="48">
        <f t="shared" si="9"/>
        <v>228.94440219367803</v>
      </c>
      <c r="N23" s="48">
        <f t="shared" si="9"/>
        <v>268.14141646108374</v>
      </c>
      <c r="O23" s="48">
        <f t="shared" si="9"/>
        <v>347.34085751617818</v>
      </c>
      <c r="P23" s="48">
        <f t="shared" si="9"/>
        <v>334.26203459875853</v>
      </c>
      <c r="Q23" s="48">
        <f t="shared" si="9"/>
        <v>260.9033111178797</v>
      </c>
      <c r="R23" s="48">
        <f t="shared" si="9"/>
        <v>252.19572386237692</v>
      </c>
      <c r="S23" s="49">
        <f t="shared" si="9"/>
        <v>300.24138662393364</v>
      </c>
    </row>
    <row r="24" spans="2:19" ht="15.75" thickBot="1" x14ac:dyDescent="0.3">
      <c r="B24" s="137"/>
      <c r="C24" s="53" t="s">
        <v>16</v>
      </c>
      <c r="D24" s="54">
        <f>IFERROR(D22*365/D$14,"N/A")</f>
        <v>1.631737122641765</v>
      </c>
      <c r="E24" s="96">
        <f t="shared" ref="E24:S24" si="10">IFERROR(E22*365/E$14,"N/A")</f>
        <v>1.6136477226417647</v>
      </c>
      <c r="F24" s="55">
        <f t="shared" si="10"/>
        <v>1.6197293342294019</v>
      </c>
      <c r="G24" s="55">
        <f t="shared" si="10"/>
        <v>1.6683822269305009</v>
      </c>
      <c r="H24" s="55">
        <f t="shared" si="10"/>
        <v>1.6379741689923144</v>
      </c>
      <c r="I24" s="55">
        <f t="shared" si="10"/>
        <v>1.45459321278572</v>
      </c>
      <c r="J24" s="55">
        <f t="shared" si="10"/>
        <v>1.5917709903275632</v>
      </c>
      <c r="K24" s="55">
        <f t="shared" si="10"/>
        <v>1.6467954441033332</v>
      </c>
      <c r="L24" s="55">
        <f t="shared" si="10"/>
        <v>1.6175736518092889</v>
      </c>
      <c r="M24" s="55">
        <f t="shared" si="10"/>
        <v>1.5942735288684815</v>
      </c>
      <c r="N24" s="55">
        <f t="shared" si="10"/>
        <v>1.3612220179085004</v>
      </c>
      <c r="O24" s="55">
        <f t="shared" si="10"/>
        <v>1.0508409595407282</v>
      </c>
      <c r="P24" s="55">
        <f t="shared" si="10"/>
        <v>1.0919576925274768</v>
      </c>
      <c r="Q24" s="55">
        <f t="shared" si="10"/>
        <v>1.3989856948771646</v>
      </c>
      <c r="R24" s="55">
        <f t="shared" si="10"/>
        <v>1.4472886154056297</v>
      </c>
      <c r="S24" s="56">
        <f t="shared" si="10"/>
        <v>1.2156884968599599</v>
      </c>
    </row>
    <row r="25" spans="2:19" ht="15.75" thickBot="1" x14ac:dyDescent="0.3"/>
    <row r="26" spans="2:19" ht="15.75" thickBot="1" x14ac:dyDescent="0.3">
      <c r="B26" s="135" t="s">
        <v>76</v>
      </c>
      <c r="C26" s="108" t="s">
        <v>33</v>
      </c>
      <c r="D26" s="60">
        <f>1-83/1405</f>
        <v>0.94092526690391454</v>
      </c>
      <c r="E26" s="92"/>
    </row>
    <row r="27" spans="2:19" ht="15.75" customHeight="1" thickBot="1" x14ac:dyDescent="0.3">
      <c r="B27" s="136"/>
      <c r="C27" s="3" t="s">
        <v>0</v>
      </c>
      <c r="D27" s="23">
        <f t="shared" ref="D27:S27" si="11">D$8</f>
        <v>470</v>
      </c>
      <c r="E27" s="82">
        <f t="shared" si="11"/>
        <v>480</v>
      </c>
      <c r="F27" s="24">
        <f t="shared" si="11"/>
        <v>570</v>
      </c>
      <c r="G27" s="24">
        <f t="shared" si="11"/>
        <v>580</v>
      </c>
      <c r="H27" s="24">
        <f t="shared" si="11"/>
        <v>590</v>
      </c>
      <c r="I27" s="24" t="str">
        <f t="shared" si="11"/>
        <v>5500XT</v>
      </c>
      <c r="J27" s="24" t="str">
        <f t="shared" si="11"/>
        <v>5600XT</v>
      </c>
      <c r="K27" s="24">
        <f t="shared" si="11"/>
        <v>5700</v>
      </c>
      <c r="L27" s="24" t="str">
        <f t="shared" si="11"/>
        <v>5700XT</v>
      </c>
      <c r="M27" s="24" t="str">
        <f t="shared" si="11"/>
        <v>6700XT</v>
      </c>
      <c r="N27" s="24">
        <f t="shared" si="11"/>
        <v>6800</v>
      </c>
      <c r="O27" s="24" t="str">
        <f t="shared" si="11"/>
        <v>6800XT</v>
      </c>
      <c r="P27" s="24" t="str">
        <f t="shared" si="11"/>
        <v>6900XT</v>
      </c>
      <c r="Q27" s="24" t="str">
        <f t="shared" si="11"/>
        <v>Vega56</v>
      </c>
      <c r="R27" s="24" t="str">
        <f t="shared" si="11"/>
        <v>Vega64</v>
      </c>
      <c r="S27" s="25" t="str">
        <f t="shared" si="11"/>
        <v>VII</v>
      </c>
    </row>
    <row r="28" spans="2:19" x14ac:dyDescent="0.25">
      <c r="B28" s="136"/>
      <c r="C28" s="42" t="s">
        <v>35</v>
      </c>
      <c r="D28" s="43">
        <f t="shared" ref="D28:S28" si="12">D$9*(1-$D$26)</f>
        <v>0.16280392790090506</v>
      </c>
      <c r="E28" s="93">
        <f t="shared" si="12"/>
        <v>0.16280392790090506</v>
      </c>
      <c r="F28" s="44">
        <f t="shared" si="12"/>
        <v>0.16333946713742117</v>
      </c>
      <c r="G28" s="44">
        <f t="shared" si="12"/>
        <v>0.16762378102955028</v>
      </c>
      <c r="H28" s="44">
        <f t="shared" si="12"/>
        <v>0.1649460848469696</v>
      </c>
      <c r="I28" s="44">
        <f t="shared" si="12"/>
        <v>0.13924020149419514</v>
      </c>
      <c r="J28" s="44">
        <f t="shared" si="12"/>
        <v>0.19814951751096999</v>
      </c>
      <c r="K28" s="44">
        <f t="shared" si="12"/>
        <v>0.2865134915361322</v>
      </c>
      <c r="L28" s="44">
        <f t="shared" si="12"/>
        <v>0.2929399623743259</v>
      </c>
      <c r="M28" s="44">
        <f t="shared" si="12"/>
        <v>0.25170344116258347</v>
      </c>
      <c r="N28" s="44">
        <f t="shared" si="12"/>
        <v>0.33953187595122963</v>
      </c>
      <c r="O28" s="44">
        <f t="shared" si="12"/>
        <v>0.34488726831639099</v>
      </c>
      <c r="P28" s="44">
        <f t="shared" si="12"/>
        <v>0.34274511137032643</v>
      </c>
      <c r="Q28" s="44">
        <f t="shared" si="12"/>
        <v>0.20671814529522814</v>
      </c>
      <c r="R28" s="44">
        <f t="shared" si="12"/>
        <v>0.25170344116258347</v>
      </c>
      <c r="S28" s="45">
        <f t="shared" si="12"/>
        <v>0.48466300904710224</v>
      </c>
    </row>
    <row r="29" spans="2:19" x14ac:dyDescent="0.25">
      <c r="B29" s="136"/>
      <c r="C29" s="22" t="s">
        <v>17</v>
      </c>
      <c r="D29" s="50">
        <f t="shared" ref="D29:S29" si="13">D28-D$12</f>
        <v>-0.1345560720990949</v>
      </c>
      <c r="E29" s="94">
        <f t="shared" si="13"/>
        <v>-0.15933607209909492</v>
      </c>
      <c r="F29" s="51">
        <f t="shared" si="13"/>
        <v>-0.15880053286257881</v>
      </c>
      <c r="G29" s="51">
        <f t="shared" si="13"/>
        <v>-0.1545162189704497</v>
      </c>
      <c r="H29" s="51">
        <f t="shared" si="13"/>
        <v>-0.15719391515303038</v>
      </c>
      <c r="I29" s="51">
        <f t="shared" si="13"/>
        <v>-3.4219798505804838E-2</v>
      </c>
      <c r="J29" s="51">
        <f t="shared" si="13"/>
        <v>-4.9650482489029979E-2</v>
      </c>
      <c r="K29" s="51">
        <f t="shared" si="13"/>
        <v>-0.10996650846386774</v>
      </c>
      <c r="L29" s="51">
        <f t="shared" si="13"/>
        <v>-5.3980037625674049E-2</v>
      </c>
      <c r="M29" s="51">
        <f t="shared" si="13"/>
        <v>-0.16955655883741649</v>
      </c>
      <c r="N29" s="51">
        <f t="shared" si="13"/>
        <v>-9.4118124048770402E-2</v>
      </c>
      <c r="O29" s="51">
        <f t="shared" si="13"/>
        <v>-0.12593273168360897</v>
      </c>
      <c r="P29" s="51">
        <f t="shared" si="13"/>
        <v>-0.20241488862967355</v>
      </c>
      <c r="Q29" s="51">
        <f t="shared" si="13"/>
        <v>-0.32605185470477183</v>
      </c>
      <c r="R29" s="51">
        <f t="shared" si="13"/>
        <v>-0.2934565588374165</v>
      </c>
      <c r="S29" s="52">
        <f t="shared" si="13"/>
        <v>-6.0496990952897733E-2</v>
      </c>
    </row>
    <row r="30" spans="2:19" x14ac:dyDescent="0.25">
      <c r="B30" s="136"/>
      <c r="C30" s="46" t="s">
        <v>15</v>
      </c>
      <c r="D30" s="47" t="str">
        <f t="shared" ref="D30:S30" si="14">IF(D29&gt;0,D$14/D29,"N/A")</f>
        <v>N/A</v>
      </c>
      <c r="E30" s="95" t="str">
        <f t="shared" si="14"/>
        <v>N/A</v>
      </c>
      <c r="F30" s="48" t="str">
        <f t="shared" si="14"/>
        <v>N/A</v>
      </c>
      <c r="G30" s="48" t="str">
        <f t="shared" si="14"/>
        <v>N/A</v>
      </c>
      <c r="H30" s="48" t="str">
        <f t="shared" si="14"/>
        <v>N/A</v>
      </c>
      <c r="I30" s="48" t="str">
        <f t="shared" si="14"/>
        <v>N/A</v>
      </c>
      <c r="J30" s="48" t="str">
        <f t="shared" si="14"/>
        <v>N/A</v>
      </c>
      <c r="K30" s="48" t="str">
        <f t="shared" si="14"/>
        <v>N/A</v>
      </c>
      <c r="L30" s="48" t="str">
        <f t="shared" si="14"/>
        <v>N/A</v>
      </c>
      <c r="M30" s="48" t="str">
        <f t="shared" si="14"/>
        <v>N/A</v>
      </c>
      <c r="N30" s="48" t="str">
        <f t="shared" si="14"/>
        <v>N/A</v>
      </c>
      <c r="O30" s="48" t="str">
        <f t="shared" si="14"/>
        <v>N/A</v>
      </c>
      <c r="P30" s="48" t="str">
        <f t="shared" si="14"/>
        <v>N/A</v>
      </c>
      <c r="Q30" s="48" t="str">
        <f t="shared" si="14"/>
        <v>N/A</v>
      </c>
      <c r="R30" s="48" t="str">
        <f t="shared" si="14"/>
        <v>N/A</v>
      </c>
      <c r="S30" s="49" t="str">
        <f t="shared" si="14"/>
        <v>N/A</v>
      </c>
    </row>
    <row r="31" spans="2:19" ht="15.75" thickBot="1" x14ac:dyDescent="0.3">
      <c r="B31" s="137"/>
      <c r="C31" s="53" t="s">
        <v>16</v>
      </c>
      <c r="D31" s="54">
        <f>IFERROR(D29*365/D$14,"N/A")</f>
        <v>-9.822593263233928E-2</v>
      </c>
      <c r="E31" s="96">
        <f t="shared" ref="E31:S31" si="15">IFERROR(E29*365/E$14,"N/A")</f>
        <v>-0.11631533263233929</v>
      </c>
      <c r="F31" s="55">
        <f t="shared" si="15"/>
        <v>-0.11592438898968252</v>
      </c>
      <c r="G31" s="55">
        <f t="shared" si="15"/>
        <v>-0.11279683984842828</v>
      </c>
      <c r="H31" s="55">
        <f t="shared" si="15"/>
        <v>-0.11475155806171218</v>
      </c>
      <c r="I31" s="55">
        <f t="shared" si="15"/>
        <v>-2.4980452909237533E-2</v>
      </c>
      <c r="J31" s="55">
        <f t="shared" si="15"/>
        <v>-2.788065555153222E-2</v>
      </c>
      <c r="K31" s="55">
        <f t="shared" si="15"/>
        <v>-4.4597528432568583E-2</v>
      </c>
      <c r="L31" s="55">
        <f t="shared" si="15"/>
        <v>-2.0739698666706344E-2</v>
      </c>
      <c r="M31" s="55">
        <f t="shared" si="15"/>
        <v>-7.7360179969571286E-2</v>
      </c>
      <c r="N31" s="55">
        <f t="shared" si="15"/>
        <v>-2.6425473290616303E-2</v>
      </c>
      <c r="O31" s="55">
        <f t="shared" si="15"/>
        <v>-2.7038498273245455E-2</v>
      </c>
      <c r="P31" s="55">
        <f t="shared" si="15"/>
        <v>-4.6175896468644277E-2</v>
      </c>
      <c r="Q31" s="55">
        <f t="shared" si="15"/>
        <v>-0.17001275281034531</v>
      </c>
      <c r="R31" s="55">
        <f t="shared" si="15"/>
        <v>-0.12601369879489061</v>
      </c>
      <c r="S31" s="56">
        <f t="shared" si="15"/>
        <v>-1.0514953189432226E-2</v>
      </c>
    </row>
    <row r="32" spans="2:19" ht="15.75" thickBot="1" x14ac:dyDescent="0.3"/>
    <row r="33" spans="2:19" ht="15.75" thickBot="1" x14ac:dyDescent="0.3">
      <c r="B33" s="135" t="s">
        <v>77</v>
      </c>
      <c r="C33" s="108" t="s">
        <v>33</v>
      </c>
      <c r="D33" s="60">
        <f>1-485/1405</f>
        <v>0.65480427046263345</v>
      </c>
      <c r="E33" s="92"/>
    </row>
    <row r="34" spans="2:19" ht="15.75" thickBot="1" x14ac:dyDescent="0.3">
      <c r="B34" s="136"/>
      <c r="C34" s="3" t="s">
        <v>0</v>
      </c>
      <c r="D34" s="23">
        <f t="shared" ref="D34:S34" si="16">D$8</f>
        <v>470</v>
      </c>
      <c r="E34" s="82">
        <f t="shared" si="16"/>
        <v>480</v>
      </c>
      <c r="F34" s="24">
        <f t="shared" si="16"/>
        <v>570</v>
      </c>
      <c r="G34" s="24">
        <f t="shared" si="16"/>
        <v>580</v>
      </c>
      <c r="H34" s="24">
        <f t="shared" si="16"/>
        <v>590</v>
      </c>
      <c r="I34" s="24" t="str">
        <f t="shared" si="16"/>
        <v>5500XT</v>
      </c>
      <c r="J34" s="24" t="str">
        <f t="shared" si="16"/>
        <v>5600XT</v>
      </c>
      <c r="K34" s="24">
        <f t="shared" si="16"/>
        <v>5700</v>
      </c>
      <c r="L34" s="24" t="str">
        <f t="shared" si="16"/>
        <v>5700XT</v>
      </c>
      <c r="M34" s="24" t="str">
        <f t="shared" si="16"/>
        <v>6700XT</v>
      </c>
      <c r="N34" s="24">
        <f t="shared" si="16"/>
        <v>6800</v>
      </c>
      <c r="O34" s="24" t="str">
        <f t="shared" si="16"/>
        <v>6800XT</v>
      </c>
      <c r="P34" s="24" t="str">
        <f t="shared" si="16"/>
        <v>6900XT</v>
      </c>
      <c r="Q34" s="24" t="str">
        <f t="shared" si="16"/>
        <v>Vega56</v>
      </c>
      <c r="R34" s="24" t="str">
        <f t="shared" si="16"/>
        <v>Vega64</v>
      </c>
      <c r="S34" s="25" t="str">
        <f t="shared" si="16"/>
        <v>VII</v>
      </c>
    </row>
    <row r="35" spans="2:19" x14ac:dyDescent="0.25">
      <c r="B35" s="136"/>
      <c r="C35" s="42" t="s">
        <v>35</v>
      </c>
      <c r="D35" s="43">
        <f t="shared" ref="D35:S35" si="17">D$9*(1-$D$33)</f>
        <v>0.9513241570113119</v>
      </c>
      <c r="E35" s="93">
        <f t="shared" si="17"/>
        <v>0.9513241570113119</v>
      </c>
      <c r="F35" s="44">
        <f t="shared" si="17"/>
        <v>0.95445351279095414</v>
      </c>
      <c r="G35" s="44">
        <f t="shared" si="17"/>
        <v>0.97948835902809406</v>
      </c>
      <c r="H35" s="44">
        <f t="shared" si="17"/>
        <v>0.96384158012988175</v>
      </c>
      <c r="I35" s="44">
        <f t="shared" si="17"/>
        <v>0.81363250270704301</v>
      </c>
      <c r="J35" s="44">
        <f t="shared" si="17"/>
        <v>1.1578616384677152</v>
      </c>
      <c r="K35" s="44">
        <f t="shared" si="17"/>
        <v>1.6742053421087228</v>
      </c>
      <c r="L35" s="44">
        <f t="shared" si="17"/>
        <v>1.7117576114644328</v>
      </c>
      <c r="M35" s="44">
        <f t="shared" si="17"/>
        <v>1.4707972164319625</v>
      </c>
      <c r="N35" s="44">
        <f t="shared" si="17"/>
        <v>1.9840115642933278</v>
      </c>
      <c r="O35" s="44">
        <f t="shared" si="17"/>
        <v>2.0153051220897527</v>
      </c>
      <c r="P35" s="44">
        <f t="shared" si="17"/>
        <v>2.0027876989711828</v>
      </c>
      <c r="Q35" s="44">
        <f t="shared" si="17"/>
        <v>1.2079313309419946</v>
      </c>
      <c r="R35" s="44">
        <f t="shared" si="17"/>
        <v>1.4707972164319625</v>
      </c>
      <c r="S35" s="45">
        <f t="shared" si="17"/>
        <v>2.832066980576438</v>
      </c>
    </row>
    <row r="36" spans="2:19" x14ac:dyDescent="0.25">
      <c r="B36" s="136"/>
      <c r="C36" s="22" t="s">
        <v>17</v>
      </c>
      <c r="D36" s="50">
        <f>D35-D$12</f>
        <v>0.65396415701131194</v>
      </c>
      <c r="E36" s="94">
        <f>E35-E$12</f>
        <v>0.62918415701131192</v>
      </c>
      <c r="F36" s="51">
        <f>F35-F$12</f>
        <v>0.63231351279095416</v>
      </c>
      <c r="G36" s="51">
        <f t="shared" ref="G36:R36" si="18">G35-G$12</f>
        <v>0.65734835902809408</v>
      </c>
      <c r="H36" s="51">
        <f t="shared" si="18"/>
        <v>0.64170158012988177</v>
      </c>
      <c r="I36" s="51">
        <f t="shared" si="18"/>
        <v>0.64017250270704307</v>
      </c>
      <c r="J36" s="51">
        <f t="shared" si="18"/>
        <v>0.91006163846771515</v>
      </c>
      <c r="K36" s="51">
        <f t="shared" si="18"/>
        <v>1.2777253421087229</v>
      </c>
      <c r="L36" s="51">
        <f t="shared" si="18"/>
        <v>1.3648376114644329</v>
      </c>
      <c r="M36" s="51">
        <f t="shared" si="18"/>
        <v>1.0495372164319625</v>
      </c>
      <c r="N36" s="51">
        <f t="shared" si="18"/>
        <v>1.5503615642933277</v>
      </c>
      <c r="O36" s="51">
        <f t="shared" si="18"/>
        <v>1.5444851220897526</v>
      </c>
      <c r="P36" s="51">
        <f t="shared" si="18"/>
        <v>1.4576276989711827</v>
      </c>
      <c r="Q36" s="51">
        <f t="shared" si="18"/>
        <v>0.6751613309419946</v>
      </c>
      <c r="R36" s="51">
        <f t="shared" si="18"/>
        <v>0.92563721643196251</v>
      </c>
      <c r="S36" s="52">
        <f>S35-S$12</f>
        <v>2.2869069805764379</v>
      </c>
    </row>
    <row r="37" spans="2:19" x14ac:dyDescent="0.25">
      <c r="B37" s="136"/>
      <c r="C37" s="46" t="s">
        <v>15</v>
      </c>
      <c r="D37" s="47">
        <f>IF(D36&gt;0,D$14/D36,"N/A")</f>
        <v>764.56789663374661</v>
      </c>
      <c r="E37" s="95">
        <f>IF(E36&gt;0,E$14/E36,"N/A")</f>
        <v>794.67989527112434</v>
      </c>
      <c r="F37" s="48">
        <f>IF(F36&gt;0,F$14/F36,"N/A")</f>
        <v>790.74697896785631</v>
      </c>
      <c r="G37" s="48">
        <f t="shared" ref="G37:R37" si="19">IF(G36&gt;0,G$14/G36,"N/A")</f>
        <v>760.63170027420847</v>
      </c>
      <c r="H37" s="48">
        <f t="shared" si="19"/>
        <v>779.17838366363219</v>
      </c>
      <c r="I37" s="48">
        <f t="shared" si="19"/>
        <v>781.03948214847162</v>
      </c>
      <c r="J37" s="48">
        <f t="shared" si="19"/>
        <v>714.23733571982564</v>
      </c>
      <c r="K37" s="48">
        <f t="shared" si="19"/>
        <v>704.37673132057057</v>
      </c>
      <c r="L37" s="48">
        <f t="shared" si="19"/>
        <v>696.05350264393451</v>
      </c>
      <c r="M37" s="48">
        <f t="shared" si="19"/>
        <v>762.24071664624091</v>
      </c>
      <c r="N37" s="48">
        <f t="shared" si="19"/>
        <v>838.51407951573844</v>
      </c>
      <c r="O37" s="48">
        <f t="shared" si="19"/>
        <v>1100.6904344276422</v>
      </c>
      <c r="P37" s="48">
        <f t="shared" si="19"/>
        <v>1097.6739815861799</v>
      </c>
      <c r="Q37" s="48">
        <f t="shared" si="19"/>
        <v>1036.7892352829954</v>
      </c>
      <c r="R37" s="48">
        <f t="shared" si="19"/>
        <v>918.28632741937497</v>
      </c>
      <c r="S37" s="49">
        <f>IF(S36&gt;0,S$14/S36,"N/A")</f>
        <v>918.27084259923583</v>
      </c>
    </row>
    <row r="38" spans="2:19" ht="15.75" thickBot="1" x14ac:dyDescent="0.3">
      <c r="B38" s="137"/>
      <c r="C38" s="53" t="s">
        <v>16</v>
      </c>
      <c r="D38" s="12">
        <f>IFERROR(D36*365/D$14,"N/A")</f>
        <v>0.47739383461825768</v>
      </c>
      <c r="E38" s="97">
        <f t="shared" ref="E38:S38" si="20">IFERROR(E36*365/E$14,"N/A")</f>
        <v>0.45930443461825771</v>
      </c>
      <c r="F38" s="13">
        <f t="shared" si="20"/>
        <v>0.46158886433739654</v>
      </c>
      <c r="G38" s="13">
        <f t="shared" si="20"/>
        <v>0.47986430209050868</v>
      </c>
      <c r="H38" s="13">
        <f t="shared" si="20"/>
        <v>0.46844215349481366</v>
      </c>
      <c r="I38" s="13">
        <f t="shared" si="20"/>
        <v>0.46732592697614145</v>
      </c>
      <c r="J38" s="13">
        <f t="shared" si="20"/>
        <v>0.51103461237033243</v>
      </c>
      <c r="K38" s="13">
        <f t="shared" si="20"/>
        <v>0.51818861096631541</v>
      </c>
      <c r="L38" s="13">
        <f t="shared" si="20"/>
        <v>0.52438497703633469</v>
      </c>
      <c r="M38" s="13">
        <f t="shared" si="20"/>
        <v>0.47885135499708292</v>
      </c>
      <c r="N38" s="13">
        <f t="shared" si="20"/>
        <v>0.43529382382081894</v>
      </c>
      <c r="O38" s="13">
        <f t="shared" si="20"/>
        <v>0.33161004091927043</v>
      </c>
      <c r="P38" s="13">
        <f t="shared" si="20"/>
        <v>0.33252131882780106</v>
      </c>
      <c r="Q38" s="13">
        <f t="shared" si="20"/>
        <v>0.35204840827689721</v>
      </c>
      <c r="R38" s="13">
        <f t="shared" si="20"/>
        <v>0.3974795105854898</v>
      </c>
      <c r="S38" s="14">
        <f t="shared" si="20"/>
        <v>0.39748621329066663</v>
      </c>
    </row>
    <row r="39" spans="2:19" x14ac:dyDescent="0.25"/>
  </sheetData>
  <mergeCells count="13">
    <mergeCell ref="B19:B24"/>
    <mergeCell ref="B26:B31"/>
    <mergeCell ref="B33:B38"/>
    <mergeCell ref="C6:D6"/>
    <mergeCell ref="G6:H6"/>
    <mergeCell ref="K6:L6"/>
    <mergeCell ref="D3:E3"/>
    <mergeCell ref="B5:B17"/>
    <mergeCell ref="C5:D5"/>
    <mergeCell ref="G5:H5"/>
    <mergeCell ref="K5:L5"/>
    <mergeCell ref="O5:P6"/>
    <mergeCell ref="Q5:Q6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H8"/>
  <sheetViews>
    <sheetView showGridLines="0" zoomScale="115" zoomScaleNormal="115" workbookViewId="0">
      <selection activeCell="H5" sqref="H5"/>
    </sheetView>
  </sheetViews>
  <sheetFormatPr defaultColWidth="0" defaultRowHeight="15" zeroHeight="1" x14ac:dyDescent="0.25"/>
  <cols>
    <col min="1" max="1" width="9.140625" style="6" customWidth="1"/>
    <col min="2" max="2" width="10.85546875" bestFit="1" customWidth="1"/>
    <col min="3" max="3" width="8.5703125" customWidth="1"/>
    <col min="4" max="5" width="10" customWidth="1"/>
    <col min="6" max="6" width="8.42578125" customWidth="1"/>
    <col min="7" max="7" width="8.140625" bestFit="1" customWidth="1"/>
    <col min="8" max="8" width="9.140625" customWidth="1"/>
    <col min="9" max="16384" width="9.140625" hidden="1"/>
  </cols>
  <sheetData>
    <row r="1" spans="2:7" s="6" customFormat="1" ht="15.75" thickBot="1" x14ac:dyDescent="0.3"/>
    <row r="2" spans="2:7" ht="30.75" customHeight="1" thickBot="1" x14ac:dyDescent="0.3">
      <c r="B2" s="72" t="s">
        <v>6</v>
      </c>
      <c r="C2" s="68" t="s">
        <v>5</v>
      </c>
      <c r="D2" s="4" t="s">
        <v>58</v>
      </c>
      <c r="E2" s="68" t="s">
        <v>57</v>
      </c>
      <c r="F2" s="72" t="s">
        <v>7</v>
      </c>
      <c r="G2" s="68" t="s">
        <v>8</v>
      </c>
    </row>
    <row r="3" spans="2:7" x14ac:dyDescent="0.25">
      <c r="B3" s="66" t="s">
        <v>2</v>
      </c>
      <c r="C3" s="67">
        <v>8.1999999999999993</v>
      </c>
      <c r="D3" s="66">
        <v>12</v>
      </c>
      <c r="E3" s="67">
        <v>24</v>
      </c>
      <c r="F3" s="66">
        <f>5*D3+2*E3</f>
        <v>108</v>
      </c>
      <c r="G3" s="69">
        <f>F3/SUM($F$3:$F$5)</f>
        <v>0.6428571428571429</v>
      </c>
    </row>
    <row r="4" spans="2:7" x14ac:dyDescent="0.25">
      <c r="B4" s="62" t="s">
        <v>3</v>
      </c>
      <c r="C4" s="63">
        <v>11.3</v>
      </c>
      <c r="D4" s="62">
        <v>6</v>
      </c>
      <c r="E4" s="63">
        <v>0</v>
      </c>
      <c r="F4" s="62">
        <f t="shared" ref="F4:F5" si="0">5*D4+2*E4</f>
        <v>30</v>
      </c>
      <c r="G4" s="70">
        <f t="shared" ref="G4:G5" si="1">F4/SUM($F$3:$F$5)</f>
        <v>0.17857142857142858</v>
      </c>
    </row>
    <row r="5" spans="2:7" ht="15.75" thickBot="1" x14ac:dyDescent="0.3">
      <c r="B5" s="64" t="s">
        <v>4</v>
      </c>
      <c r="C5" s="65">
        <v>17</v>
      </c>
      <c r="D5" s="64">
        <v>6</v>
      </c>
      <c r="E5" s="65">
        <v>0</v>
      </c>
      <c r="F5" s="64">
        <f t="shared" si="0"/>
        <v>30</v>
      </c>
      <c r="G5" s="71">
        <f t="shared" si="1"/>
        <v>0.17857142857142858</v>
      </c>
    </row>
    <row r="6" spans="2:7" ht="15.75" thickBot="1" x14ac:dyDescent="0.3">
      <c r="F6" s="73" t="s">
        <v>9</v>
      </c>
      <c r="G6" s="74">
        <f>SUMPRODUCT(G3:G5,C3:C5)</f>
        <v>10.324999999999999</v>
      </c>
    </row>
    <row r="7" spans="2:7" x14ac:dyDescent="0.25"/>
    <row r="8" spans="2:7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1</xdr:col>
                    <xdr:colOff>0</xdr:colOff>
                    <xdr:row>5</xdr:row>
                    <xdr:rowOff>161925</xdr:rowOff>
                  </from>
                  <to>
                    <xdr:col>1</xdr:col>
                    <xdr:colOff>714375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X47"/>
  <sheetViews>
    <sheetView showGridLines="0" workbookViewId="0">
      <selection activeCell="G37" sqref="G37"/>
    </sheetView>
  </sheetViews>
  <sheetFormatPr defaultColWidth="0" defaultRowHeight="15" zeroHeight="1" x14ac:dyDescent="0.25"/>
  <cols>
    <col min="1" max="1" width="9.140625" style="6" customWidth="1"/>
    <col min="2" max="2" width="12.140625" style="6" bestFit="1" customWidth="1"/>
    <col min="3" max="3" width="43.7109375" style="6" bestFit="1" customWidth="1"/>
    <col min="4" max="4" width="10.5703125" style="6" bestFit="1" customWidth="1"/>
    <col min="5" max="5" width="9.140625" style="6" customWidth="1"/>
    <col min="6" max="6" width="13.5703125" style="6" bestFit="1" customWidth="1"/>
    <col min="7" max="7" width="10.5703125" style="6" bestFit="1" customWidth="1"/>
    <col min="8" max="8" width="9.140625" style="6" customWidth="1"/>
    <col min="9" max="24" width="9.140625" hidden="1"/>
    <col min="25" max="16384" width="9.140625" style="6" hidden="1"/>
  </cols>
  <sheetData>
    <row r="1" spans="1:7" ht="15.75" thickBot="1" x14ac:dyDescent="0.3"/>
    <row r="2" spans="1:7" ht="18.75" x14ac:dyDescent="0.25">
      <c r="B2" s="155" t="s">
        <v>79</v>
      </c>
      <c r="C2" s="157"/>
      <c r="D2" s="156"/>
      <c r="F2" s="155" t="s">
        <v>80</v>
      </c>
      <c r="G2" s="156"/>
    </row>
    <row r="3" spans="1:7" customFormat="1" ht="6" customHeight="1" thickBot="1" x14ac:dyDescent="0.3">
      <c r="A3" s="6"/>
    </row>
    <row r="4" spans="1:7" ht="16.5" thickBot="1" x14ac:dyDescent="0.3">
      <c r="B4" s="109" t="s">
        <v>21</v>
      </c>
      <c r="C4" s="109" t="s">
        <v>81</v>
      </c>
      <c r="D4" s="109" t="s">
        <v>82</v>
      </c>
      <c r="F4" s="152" t="s">
        <v>21</v>
      </c>
      <c r="G4" s="147" t="s">
        <v>83</v>
      </c>
    </row>
    <row r="5" spans="1:7" x14ac:dyDescent="0.25">
      <c r="B5" s="153">
        <v>43926</v>
      </c>
      <c r="C5" s="110" t="s">
        <v>84</v>
      </c>
      <c r="D5" s="148">
        <v>150.97</v>
      </c>
      <c r="F5" s="153">
        <v>44290</v>
      </c>
      <c r="G5" s="148">
        <v>215.24</v>
      </c>
    </row>
    <row r="6" spans="1:7" x14ac:dyDescent="0.25">
      <c r="B6" s="154">
        <v>44262</v>
      </c>
      <c r="C6" s="111" t="s">
        <v>85</v>
      </c>
      <c r="D6" s="149">
        <v>19.86</v>
      </c>
      <c r="F6" s="154">
        <v>44310</v>
      </c>
      <c r="G6" s="149">
        <v>246.25</v>
      </c>
    </row>
    <row r="7" spans="1:7" x14ac:dyDescent="0.25">
      <c r="B7" s="154">
        <v>44263</v>
      </c>
      <c r="C7" s="111" t="s">
        <v>86</v>
      </c>
      <c r="D7" s="149">
        <v>18.11</v>
      </c>
      <c r="F7" s="154">
        <v>44318</v>
      </c>
      <c r="G7" s="149">
        <v>788.93</v>
      </c>
    </row>
    <row r="8" spans="1:7" x14ac:dyDescent="0.25">
      <c r="B8" s="154">
        <v>44264</v>
      </c>
      <c r="C8" s="111" t="s">
        <v>87</v>
      </c>
      <c r="D8" s="149">
        <v>7.99</v>
      </c>
      <c r="F8" s="154">
        <v>44328</v>
      </c>
      <c r="G8" s="149">
        <v>297</v>
      </c>
    </row>
    <row r="9" spans="1:7" x14ac:dyDescent="0.25">
      <c r="B9" s="154">
        <v>44271</v>
      </c>
      <c r="C9" s="111" t="s">
        <v>88</v>
      </c>
      <c r="D9" s="149">
        <v>16.89</v>
      </c>
      <c r="F9" s="154">
        <v>44328</v>
      </c>
      <c r="G9" s="149">
        <v>742.5</v>
      </c>
    </row>
    <row r="10" spans="1:7" x14ac:dyDescent="0.25">
      <c r="B10" s="154">
        <v>44271</v>
      </c>
      <c r="C10" s="111" t="s">
        <v>89</v>
      </c>
      <c r="D10" s="149">
        <v>60.07</v>
      </c>
      <c r="F10" s="154">
        <v>44333</v>
      </c>
      <c r="G10" s="149">
        <v>367.54</v>
      </c>
    </row>
    <row r="11" spans="1:7" x14ac:dyDescent="0.25">
      <c r="B11" s="154">
        <v>44272</v>
      </c>
      <c r="C11" s="111" t="s">
        <v>90</v>
      </c>
      <c r="D11" s="149">
        <v>889.1</v>
      </c>
      <c r="F11" s="154">
        <v>44339</v>
      </c>
      <c r="G11" s="149">
        <v>290.45</v>
      </c>
    </row>
    <row r="12" spans="1:7" x14ac:dyDescent="0.25">
      <c r="B12" s="154">
        <v>44275</v>
      </c>
      <c r="C12" s="111" t="s">
        <v>87</v>
      </c>
      <c r="D12" s="149">
        <v>15.98</v>
      </c>
      <c r="F12" s="154">
        <v>44358</v>
      </c>
      <c r="G12" s="149">
        <v>305.98</v>
      </c>
    </row>
    <row r="13" spans="1:7" x14ac:dyDescent="0.25">
      <c r="B13" s="154">
        <v>44324</v>
      </c>
      <c r="C13" s="111" t="s">
        <v>91</v>
      </c>
      <c r="D13" s="149">
        <v>50</v>
      </c>
      <c r="F13" s="154">
        <v>44371</v>
      </c>
      <c r="G13" s="149">
        <v>726.08</v>
      </c>
    </row>
    <row r="14" spans="1:7" x14ac:dyDescent="0.25">
      <c r="B14" s="154">
        <v>44320</v>
      </c>
      <c r="C14" s="111" t="s">
        <v>92</v>
      </c>
      <c r="D14" s="149">
        <v>1034.99</v>
      </c>
      <c r="F14" s="154">
        <v>44381</v>
      </c>
      <c r="G14" s="149">
        <v>305.35000000000002</v>
      </c>
    </row>
    <row r="15" spans="1:7" x14ac:dyDescent="0.25">
      <c r="B15" s="154">
        <v>44320</v>
      </c>
      <c r="C15" s="111" t="s">
        <v>93</v>
      </c>
      <c r="D15" s="149">
        <v>927.88</v>
      </c>
      <c r="F15" s="154">
        <v>44405</v>
      </c>
      <c r="G15" s="149">
        <v>352.14</v>
      </c>
    </row>
    <row r="16" spans="1:7" x14ac:dyDescent="0.25">
      <c r="B16" s="154">
        <v>44332</v>
      </c>
      <c r="C16" s="111" t="s">
        <v>94</v>
      </c>
      <c r="D16" s="149">
        <v>80</v>
      </c>
      <c r="F16" s="154">
        <v>44413</v>
      </c>
      <c r="G16" s="149">
        <v>297</v>
      </c>
    </row>
    <row r="17" spans="2:24" x14ac:dyDescent="0.25">
      <c r="B17" s="154">
        <v>44349</v>
      </c>
      <c r="C17" s="112" t="s">
        <v>95</v>
      </c>
      <c r="D17" s="149">
        <v>56.49</v>
      </c>
      <c r="F17" s="154">
        <v>44418</v>
      </c>
      <c r="G17" s="149">
        <v>311.55</v>
      </c>
    </row>
    <row r="18" spans="2:24" x14ac:dyDescent="0.25">
      <c r="B18" s="154">
        <v>44367</v>
      </c>
      <c r="C18" s="112" t="s">
        <v>96</v>
      </c>
      <c r="D18" s="149">
        <v>50</v>
      </c>
      <c r="F18" s="154">
        <v>44429</v>
      </c>
      <c r="G18" s="149">
        <v>308.89</v>
      </c>
    </row>
    <row r="19" spans="2:24" x14ac:dyDescent="0.25">
      <c r="B19" s="154">
        <v>44362</v>
      </c>
      <c r="C19" s="112" t="s">
        <v>97</v>
      </c>
      <c r="D19" s="149">
        <v>2.48</v>
      </c>
      <c r="F19" s="154">
        <v>44446</v>
      </c>
      <c r="G19" s="149">
        <v>353.19</v>
      </c>
    </row>
    <row r="20" spans="2:24" x14ac:dyDescent="0.25">
      <c r="B20" s="154">
        <v>44366</v>
      </c>
      <c r="C20" s="112" t="s">
        <v>98</v>
      </c>
      <c r="D20" s="149">
        <v>1850</v>
      </c>
      <c r="F20" s="154">
        <v>44454</v>
      </c>
      <c r="G20" s="149">
        <v>297.85000000000002</v>
      </c>
    </row>
    <row r="21" spans="2:24" x14ac:dyDescent="0.25">
      <c r="B21" s="154">
        <v>44368</v>
      </c>
      <c r="C21" s="112" t="s">
        <v>99</v>
      </c>
      <c r="D21" s="149">
        <v>20.95</v>
      </c>
      <c r="F21" s="154">
        <v>44466</v>
      </c>
      <c r="G21" s="149">
        <v>320.64</v>
      </c>
    </row>
    <row r="22" spans="2:24" x14ac:dyDescent="0.25">
      <c r="B22" s="154">
        <v>44368</v>
      </c>
      <c r="C22" s="112" t="s">
        <v>100</v>
      </c>
      <c r="D22" s="149">
        <v>22.95</v>
      </c>
      <c r="F22" s="154">
        <v>44477</v>
      </c>
      <c r="G22" s="149">
        <v>334.07</v>
      </c>
    </row>
    <row r="23" spans="2:24" x14ac:dyDescent="0.25">
      <c r="B23" s="154">
        <v>44368</v>
      </c>
      <c r="C23" s="112" t="s">
        <v>101</v>
      </c>
      <c r="D23" s="149">
        <v>20.25</v>
      </c>
      <c r="F23" s="150" t="s">
        <v>119</v>
      </c>
      <c r="G23" s="151">
        <f>SUBTOTAL(109,ProfitTable[Amount])</f>
        <v>6860.6500000000005</v>
      </c>
    </row>
    <row r="24" spans="2:24" x14ac:dyDescent="0.25">
      <c r="B24" s="154">
        <v>44372</v>
      </c>
      <c r="C24" s="111" t="s">
        <v>87</v>
      </c>
      <c r="D24" s="149">
        <v>9.99</v>
      </c>
      <c r="F24"/>
      <c r="G24"/>
    </row>
    <row r="25" spans="2:24" x14ac:dyDescent="0.25">
      <c r="B25" s="154">
        <v>44392</v>
      </c>
      <c r="C25" s="111" t="s">
        <v>108</v>
      </c>
      <c r="D25" s="149">
        <v>50</v>
      </c>
      <c r="E25"/>
      <c r="F25"/>
      <c r="G25"/>
    </row>
    <row r="26" spans="2:24" x14ac:dyDescent="0.25">
      <c r="B26" s="154">
        <v>44423</v>
      </c>
      <c r="C26" s="111" t="s">
        <v>107</v>
      </c>
      <c r="D26" s="149">
        <v>50</v>
      </c>
      <c r="E26"/>
      <c r="F26"/>
      <c r="G26"/>
    </row>
    <row r="27" spans="2:24" x14ac:dyDescent="0.25">
      <c r="B27" s="154">
        <v>44433</v>
      </c>
      <c r="C27" s="111" t="s">
        <v>114</v>
      </c>
      <c r="D27" s="149">
        <v>553.92999999999995</v>
      </c>
      <c r="E27"/>
      <c r="F27"/>
      <c r="G27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spans="2:24" x14ac:dyDescent="0.25">
      <c r="B28" s="154">
        <v>44433</v>
      </c>
      <c r="C28" s="111" t="s">
        <v>115</v>
      </c>
      <c r="D28" s="149">
        <v>98.27</v>
      </c>
      <c r="E28"/>
      <c r="F28"/>
      <c r="G28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</row>
    <row r="29" spans="2:24" x14ac:dyDescent="0.25">
      <c r="B29" s="154">
        <v>44434</v>
      </c>
      <c r="C29" s="111" t="s">
        <v>116</v>
      </c>
      <c r="D29" s="149">
        <v>950</v>
      </c>
      <c r="E29"/>
      <c r="F29"/>
      <c r="G29"/>
    </row>
    <row r="30" spans="2:24" x14ac:dyDescent="0.25">
      <c r="B30" s="154">
        <v>44438</v>
      </c>
      <c r="C30" s="111" t="s">
        <v>117</v>
      </c>
      <c r="D30" s="149">
        <v>25.93</v>
      </c>
      <c r="E30"/>
      <c r="F30"/>
      <c r="G30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2:24" x14ac:dyDescent="0.25">
      <c r="B31" s="154">
        <v>44443</v>
      </c>
      <c r="C31" s="111" t="s">
        <v>117</v>
      </c>
      <c r="D31" s="149">
        <v>40.67</v>
      </c>
      <c r="E31"/>
      <c r="F31"/>
      <c r="G3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2:24" x14ac:dyDescent="0.25">
      <c r="B32" s="154">
        <v>44454</v>
      </c>
      <c r="C32" s="111" t="s">
        <v>118</v>
      </c>
      <c r="D32" s="149">
        <v>95</v>
      </c>
      <c r="E32"/>
      <c r="F32"/>
      <c r="G32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spans="2:24" x14ac:dyDescent="0.25">
      <c r="B33" s="150" t="s">
        <v>119</v>
      </c>
      <c r="C33" s="111"/>
      <c r="D33" s="151">
        <f>SUBTOTAL(109,ExpenseTable[Cost])</f>
        <v>7168.75</v>
      </c>
      <c r="E33"/>
      <c r="F33"/>
      <c r="G33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spans="2:24" x14ac:dyDescent="0.25">
      <c r="B34"/>
      <c r="C34"/>
      <c r="D34"/>
      <c r="E34"/>
      <c r="F34"/>
      <c r="G34"/>
    </row>
    <row r="35" spans="2:24" x14ac:dyDescent="0.25">
      <c r="B35"/>
      <c r="C35"/>
      <c r="D35"/>
      <c r="E35"/>
      <c r="F35"/>
    </row>
    <row r="36" spans="2:24" x14ac:dyDescent="0.25">
      <c r="B36"/>
      <c r="C36"/>
      <c r="D36"/>
      <c r="E36"/>
      <c r="F36"/>
    </row>
    <row r="37" spans="2:24" x14ac:dyDescent="0.25">
      <c r="B37"/>
      <c r="C37"/>
      <c r="D37"/>
      <c r="E37"/>
      <c r="F37"/>
    </row>
    <row r="38" spans="2:24" x14ac:dyDescent="0.25">
      <c r="B38"/>
      <c r="C38"/>
      <c r="D38"/>
      <c r="E38"/>
      <c r="F38"/>
    </row>
    <row r="39" spans="2:24" x14ac:dyDescent="0.25">
      <c r="B39"/>
      <c r="C39"/>
      <c r="D39"/>
      <c r="E39"/>
    </row>
    <row r="40" spans="2:24" x14ac:dyDescent="0.25"/>
    <row r="41" spans="2:24" x14ac:dyDescent="0.25"/>
    <row r="42" spans="2:24" x14ac:dyDescent="0.25"/>
    <row r="43" spans="2:24" x14ac:dyDescent="0.25"/>
    <row r="44" spans="2:24" x14ac:dyDescent="0.25"/>
    <row r="45" spans="2:24" x14ac:dyDescent="0.25"/>
    <row r="46" spans="2:24" x14ac:dyDescent="0.25"/>
    <row r="47" spans="2:24" x14ac:dyDescent="0.2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2021-10-11T03:17:11Z</dcterms:modified>
</cp:coreProperties>
</file>