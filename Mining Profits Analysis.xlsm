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91E68CF3-6C25-4FE5-915F-5CDDC9F6EEB9}" xr6:coauthVersionLast="47" xr6:coauthVersionMax="47" xr10:uidLastSave="{00000000-0000-0000-0000-000000000000}"/>
  <bookViews>
    <workbookView xWindow="-120" yWindow="-120" windowWidth="38640" windowHeight="21240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9" l="1"/>
  <c r="C9" i="3"/>
  <c r="L4" i="3"/>
  <c r="C28" i="9"/>
  <c r="F28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L5" i="7" l="1"/>
  <c r="P4" i="7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D8" i="3" l="1"/>
  <c r="Q8" i="7"/>
  <c r="R8" i="7"/>
  <c r="R34" i="7" s="1"/>
  <c r="R35" i="7" s="1"/>
  <c r="R37" i="7" s="1"/>
  <c r="K8" i="7"/>
  <c r="N8" i="7"/>
  <c r="N20" i="7" s="1"/>
  <c r="N21" i="7" s="1"/>
  <c r="N23" i="7" s="1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N27" i="7"/>
  <c r="N28" i="7" s="1"/>
  <c r="N30" i="7" s="1"/>
  <c r="N12" i="7"/>
  <c r="N16" i="7" s="1"/>
  <c r="N34" i="7"/>
  <c r="N35" i="7" s="1"/>
  <c r="N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G12" i="3" l="1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L20" i="7"/>
  <c r="L21" i="7" s="1"/>
  <c r="L23" i="7" s="1"/>
  <c r="K12" i="3"/>
  <c r="K16" i="3" s="1"/>
  <c r="E23" i="3"/>
  <c r="R23" i="3"/>
  <c r="R24" i="3" s="1"/>
  <c r="R26" i="3" s="1"/>
  <c r="M23" i="3"/>
  <c r="M24" i="3" s="1"/>
  <c r="M25" i="3" s="1"/>
  <c r="K39" i="3"/>
  <c r="K40" i="3" s="1"/>
  <c r="K42" i="3" s="1"/>
  <c r="F23" i="3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31" i="3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F24" i="3"/>
  <c r="F25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R29" i="7"/>
  <c r="C15" i="7"/>
  <c r="I36" i="7"/>
  <c r="N36" i="7"/>
  <c r="P15" i="7"/>
  <c r="N15" i="7"/>
  <c r="I15" i="7"/>
  <c r="Q22" i="7"/>
  <c r="O15" i="7"/>
  <c r="Q36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N29" i="7"/>
  <c r="K36" i="7"/>
  <c r="D29" i="7"/>
  <c r="G15" i="7"/>
  <c r="L22" i="7"/>
  <c r="C22" i="7"/>
  <c r="N22" i="7"/>
  <c r="L36" i="7"/>
  <c r="K15" i="7"/>
  <c r="D36" i="7"/>
  <c r="G22" i="7"/>
  <c r="L29" i="7"/>
  <c r="G32" i="3"/>
  <c r="G40" i="3"/>
  <c r="G42" i="3" s="1"/>
  <c r="G15" i="3"/>
  <c r="R12" i="3"/>
  <c r="R16" i="3" s="1"/>
  <c r="G24" i="3"/>
  <c r="G26" i="3" s="1"/>
  <c r="P32" i="3"/>
  <c r="P34" i="3" s="1"/>
  <c r="Q24" i="3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K15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E29" i="7" l="1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<sst xmlns="http://schemas.openxmlformats.org/spreadsheetml/2006/main" count="2292" uniqueCount="116">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</sst>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zoomScaleNormal="100" workbookViewId="0">
      <selection activeCell="I6" sqref="I6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6">
        <v>44419</v>
      </c>
      <c r="C2" s="127"/>
    </row>
    <row r="3" spans="1:23" ht="15.75" thickBot="1" x14ac:dyDescent="0.3">
      <c r="D3" s="1"/>
      <c r="H3" s="1"/>
    </row>
    <row r="4" spans="1:23" ht="15.75" thickBot="1" x14ac:dyDescent="0.3">
      <c r="A4" s="132" t="s">
        <v>46</v>
      </c>
      <c r="B4" s="133"/>
      <c r="C4" s="58">
        <v>619.48699999999997</v>
      </c>
      <c r="D4" s="1"/>
      <c r="H4" s="1"/>
    </row>
    <row r="5" spans="1:23" ht="15.75" thickBot="1" x14ac:dyDescent="0.3">
      <c r="A5" s="128" t="s">
        <v>115</v>
      </c>
      <c r="B5" s="129"/>
      <c r="C5" s="57">
        <v>4028.51</v>
      </c>
    </row>
    <row r="6" spans="1:23" s="6" customFormat="1" ht="15.75" thickBot="1" x14ac:dyDescent="0.3">
      <c r="A6" s="128" t="s">
        <v>111</v>
      </c>
      <c r="B6" s="129"/>
      <c r="C6" s="57">
        <v>15364</v>
      </c>
    </row>
    <row r="7" spans="1:23" s="6" customFormat="1" ht="15.75" thickBot="1" x14ac:dyDescent="0.3">
      <c r="A7" s="130" t="s">
        <v>114</v>
      </c>
      <c r="B7" s="131"/>
      <c r="C7" s="57">
        <v>6507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96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/>
      <c r="O12" s="104">
        <v>1200</v>
      </c>
      <c r="P12" s="104"/>
      <c r="Q12" s="104">
        <v>1300</v>
      </c>
      <c r="R12" s="104"/>
      <c r="S12" s="104"/>
      <c r="T12" s="104">
        <v>1850</v>
      </c>
      <c r="U12" s="125"/>
      <c r="V12" s="125"/>
      <c r="W12" s="65">
        <v>2777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M20" sqref="M20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40" t="s">
        <v>78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30" s="6" customFormat="1" x14ac:dyDescent="0.25">
      <c r="A2" s="155" t="s">
        <v>44</v>
      </c>
      <c r="B2" s="155"/>
      <c r="C2" s="126">
        <f>'Card Data'!$B$2</f>
        <v>44419</v>
      </c>
      <c r="D2" s="127"/>
      <c r="E2"/>
      <c r="O2" s="154" t="s">
        <v>49</v>
      </c>
      <c r="P2" s="154"/>
      <c r="Q2" s="154"/>
      <c r="R2" s="154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4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4028.51</v>
      </c>
      <c r="I4" s="1"/>
      <c r="J4" s="150" t="s">
        <v>113</v>
      </c>
      <c r="K4" s="151"/>
      <c r="L4" s="57">
        <f>'Card Data'!$C$7</f>
        <v>6507</v>
      </c>
      <c r="N4" s="132" t="s">
        <v>48</v>
      </c>
      <c r="O4" s="133"/>
      <c r="P4" s="152">
        <f>$L$4*$L$5*$H$4/$D$5/10000</f>
        <v>9.9911745750919714</v>
      </c>
    </row>
    <row r="5" spans="1:30" s="6" customFormat="1" ht="15.75" thickBot="1" x14ac:dyDescent="0.3">
      <c r="A5" s="135"/>
      <c r="B5" s="150" t="s">
        <v>46</v>
      </c>
      <c r="C5" s="151"/>
      <c r="D5" s="58">
        <f>'Card Data'!$C$4</f>
        <v>619.48699999999997</v>
      </c>
      <c r="E5" s="1"/>
      <c r="F5" s="150" t="s">
        <v>112</v>
      </c>
      <c r="G5" s="151"/>
      <c r="H5" s="57">
        <f>'Card Data'!$C$6</f>
        <v>15364</v>
      </c>
      <c r="I5" s="1"/>
      <c r="J5" s="150" t="s">
        <v>39</v>
      </c>
      <c r="K5" s="151"/>
      <c r="L5" s="59">
        <f>$H$5/$L$4</f>
        <v>2.3611495312740125</v>
      </c>
      <c r="N5" s="156"/>
      <c r="O5" s="157"/>
      <c r="P5" s="153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5"/>
      <c r="V6"/>
      <c r="W6"/>
      <c r="X6"/>
      <c r="Y6"/>
      <c r="Z6"/>
      <c r="AA6"/>
      <c r="AB6"/>
      <c r="AC6"/>
      <c r="AD6"/>
    </row>
    <row r="7" spans="1:30" ht="15.75" thickBot="1" x14ac:dyDescent="0.3">
      <c r="A7" s="135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5"/>
      <c r="B8" s="26" t="s">
        <v>51</v>
      </c>
      <c r="C8" s="61">
        <f>$P$4*C9/100</f>
        <v>2.9973523725275912</v>
      </c>
      <c r="D8" s="83">
        <f>$P$4*D9/100</f>
        <v>3.1871846894543387</v>
      </c>
      <c r="E8" s="27">
        <f t="shared" ref="E8:R8" si="0">$P$4*E9/100</f>
        <v>3.5968228470331098</v>
      </c>
      <c r="F8" s="27">
        <f t="shared" si="0"/>
        <v>4.5959403045423066</v>
      </c>
      <c r="G8" s="27">
        <f t="shared" si="0"/>
        <v>2.9973523725275912</v>
      </c>
      <c r="H8" s="27">
        <f t="shared" si="0"/>
        <v>3.1971758640294308</v>
      </c>
      <c r="I8" s="27">
        <f t="shared" si="0"/>
        <v>4.2212712579763583</v>
      </c>
      <c r="J8" s="27">
        <f t="shared" si="0"/>
        <v>4.3961168130404671</v>
      </c>
      <c r="K8" s="27">
        <f t="shared" si="0"/>
        <v>4.2962050672895478</v>
      </c>
      <c r="L8" s="27">
        <f t="shared" si="0"/>
        <v>4.2962050672895478</v>
      </c>
      <c r="M8" s="27">
        <f t="shared" si="0"/>
        <v>4.2162756706888125</v>
      </c>
      <c r="N8" s="27">
        <f t="shared" si="0"/>
        <v>5.9147753484544481</v>
      </c>
      <c r="O8" s="27">
        <f t="shared" si="0"/>
        <v>6.0446606179306421</v>
      </c>
      <c r="P8" s="27">
        <f t="shared" si="0"/>
        <v>6.0506553226756976</v>
      </c>
      <c r="Q8" s="27">
        <f t="shared" si="0"/>
        <v>9.5915275920882923</v>
      </c>
      <c r="R8" s="28">
        <f t="shared" si="0"/>
        <v>11.989409490110365</v>
      </c>
    </row>
    <row r="9" spans="1:30" x14ac:dyDescent="0.25">
      <c r="A9" s="135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35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5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5"/>
      <c r="B12" s="29" t="s">
        <v>52</v>
      </c>
      <c r="C12" s="33">
        <f t="shared" ref="C12:R12" si="2">C8-C11</f>
        <v>2.6999923725275914</v>
      </c>
      <c r="D12" s="87">
        <f t="shared" ref="D12" si="3">D8-D11</f>
        <v>2.8526546894543388</v>
      </c>
      <c r="E12" s="34">
        <f t="shared" si="2"/>
        <v>3.2622928470331098</v>
      </c>
      <c r="F12" s="34">
        <f t="shared" si="2"/>
        <v>4.0012203045423069</v>
      </c>
      <c r="G12" s="34">
        <f t="shared" ref="G12" si="4">G8-G11</f>
        <v>2.7743323725275912</v>
      </c>
      <c r="H12" s="34">
        <f>H8-H11</f>
        <v>2.9741558640294308</v>
      </c>
      <c r="I12" s="34">
        <f t="shared" si="2"/>
        <v>3.9486912579763582</v>
      </c>
      <c r="J12" s="34">
        <f t="shared" si="2"/>
        <v>4.0987568130404668</v>
      </c>
      <c r="K12" s="34">
        <f t="shared" si="2"/>
        <v>3.9864550672895476</v>
      </c>
      <c r="L12" s="34">
        <f t="shared" si="2"/>
        <v>4.0285810672895481</v>
      </c>
      <c r="M12" s="34">
        <f t="shared" si="2"/>
        <v>3.8693556706888126</v>
      </c>
      <c r="N12" s="34">
        <f t="shared" si="2"/>
        <v>5.3448353484544482</v>
      </c>
      <c r="O12" s="34">
        <f t="shared" si="2"/>
        <v>5.7473006179306418</v>
      </c>
      <c r="P12" s="34">
        <f t="shared" si="2"/>
        <v>5.7532953226756973</v>
      </c>
      <c r="Q12" s="34">
        <f t="shared" si="2"/>
        <v>8.9472475920882921</v>
      </c>
      <c r="R12" s="35">
        <f t="shared" si="2"/>
        <v>11.283179490110365</v>
      </c>
    </row>
    <row r="13" spans="1:30" ht="17.25" x14ac:dyDescent="0.25">
      <c r="A13" s="135"/>
      <c r="B13" s="15" t="s">
        <v>53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35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369.23076923076923</v>
      </c>
      <c r="R14" s="77">
        <f t="shared" si="5"/>
        <v>421.05263157894734</v>
      </c>
    </row>
    <row r="15" spans="1:30" x14ac:dyDescent="0.25">
      <c r="A15" s="135"/>
      <c r="B15" s="15" t="s">
        <v>54</v>
      </c>
      <c r="C15" s="39">
        <f t="shared" ref="C15:D15" si="6">C13/C12</f>
        <v>222.22284999950256</v>
      </c>
      <c r="D15" s="90">
        <f t="shared" si="6"/>
        <v>227.85793261375537</v>
      </c>
      <c r="E15" s="40">
        <f t="shared" ref="E15:R15" si="7">E13/E12</f>
        <v>214.57301132135166</v>
      </c>
      <c r="F15" s="40">
        <f t="shared" si="7"/>
        <v>237.42756651552804</v>
      </c>
      <c r="G15" s="40">
        <f t="shared" ref="G15" si="8">G13/G12</f>
        <v>180.2235395265451</v>
      </c>
      <c r="H15" s="40">
        <f t="shared" si="7"/>
        <v>268.98388536912387</v>
      </c>
      <c r="I15" s="40">
        <f t="shared" si="7"/>
        <v>240.58604178814932</v>
      </c>
      <c r="J15" s="40">
        <f t="shared" si="7"/>
        <v>243.97641665844475</v>
      </c>
      <c r="K15" s="40">
        <f t="shared" si="7"/>
        <v>250.84943467829314</v>
      </c>
      <c r="L15" s="40">
        <f t="shared" si="7"/>
        <v>248.22635645081002</v>
      </c>
      <c r="M15" s="40">
        <f t="shared" si="7"/>
        <v>258.44096152111615</v>
      </c>
      <c r="N15" s="40">
        <f t="shared" si="7"/>
        <v>224.51580296987086</v>
      </c>
      <c r="O15" s="40">
        <f t="shared" si="7"/>
        <v>208.79367198162481</v>
      </c>
      <c r="P15" s="40">
        <f t="shared" si="7"/>
        <v>225.95746039252617</v>
      </c>
      <c r="Q15" s="40">
        <f t="shared" si="7"/>
        <v>206.76749815617978</v>
      </c>
      <c r="R15" s="41">
        <f t="shared" si="7"/>
        <v>246.11856989725482</v>
      </c>
    </row>
    <row r="16" spans="1:30" ht="18" thickBot="1" x14ac:dyDescent="0.3">
      <c r="A16" s="135"/>
      <c r="B16" s="8" t="s">
        <v>40</v>
      </c>
      <c r="C16" s="36">
        <f>IFERROR(C12*365/C13,"N/A")</f>
        <v>1.6424953599542849</v>
      </c>
      <c r="D16" s="91">
        <f t="shared" ref="D16:R16" si="9">IFERROR(D12*365/D13,"N/A")</f>
        <v>1.6018753256166669</v>
      </c>
      <c r="E16" s="37">
        <f t="shared" si="9"/>
        <v>1.7010526988101216</v>
      </c>
      <c r="F16" s="37">
        <f t="shared" si="9"/>
        <v>1.5373109591136231</v>
      </c>
      <c r="G16" s="37">
        <f t="shared" si="9"/>
        <v>2.0252626319451417</v>
      </c>
      <c r="H16" s="37">
        <f t="shared" si="9"/>
        <v>1.3569586129634277</v>
      </c>
      <c r="I16" s="37">
        <f t="shared" si="9"/>
        <v>1.5171287464856533</v>
      </c>
      <c r="J16" s="37">
        <f t="shared" si="9"/>
        <v>1.4960462367597704</v>
      </c>
      <c r="K16" s="37">
        <f t="shared" si="9"/>
        <v>1.4550560995606849</v>
      </c>
      <c r="L16" s="37">
        <f t="shared" si="9"/>
        <v>1.4704320895606851</v>
      </c>
      <c r="M16" s="37">
        <f t="shared" si="9"/>
        <v>1.4123148198014166</v>
      </c>
      <c r="N16" s="37">
        <f t="shared" si="9"/>
        <v>1.6257207518215615</v>
      </c>
      <c r="O16" s="37">
        <f t="shared" si="9"/>
        <v>1.7481372712872367</v>
      </c>
      <c r="P16" s="37">
        <f t="shared" si="9"/>
        <v>1.6153483021358688</v>
      </c>
      <c r="Q16" s="37">
        <f t="shared" si="9"/>
        <v>1.7652677681687712</v>
      </c>
      <c r="R16" s="38">
        <f t="shared" si="9"/>
        <v>1.4830250320094645</v>
      </c>
    </row>
    <row r="17" spans="1:30" s="6" customFormat="1" x14ac:dyDescent="0.25">
      <c r="A17" s="135"/>
      <c r="B17" s="141" t="s">
        <v>41</v>
      </c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3"/>
      <c r="V17"/>
      <c r="W17"/>
      <c r="X17"/>
      <c r="Y17"/>
      <c r="Z17"/>
      <c r="AA17"/>
      <c r="AB17"/>
      <c r="AC17"/>
      <c r="AD17"/>
    </row>
    <row r="18" spans="1:30" ht="15.75" x14ac:dyDescent="0.25">
      <c r="A18" s="135"/>
      <c r="B18" s="144" t="s">
        <v>43</v>
      </c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/>
    </row>
    <row r="19" spans="1:30" ht="16.5" thickBot="1" x14ac:dyDescent="0.3">
      <c r="A19" s="136"/>
      <c r="B19" s="147" t="s">
        <v>42</v>
      </c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9"/>
    </row>
    <row r="20" spans="1:30" ht="15.75" thickBot="1" x14ac:dyDescent="0.3"/>
    <row r="21" spans="1:30" ht="15.75" thickBot="1" x14ac:dyDescent="0.3">
      <c r="A21" s="134" t="s">
        <v>18</v>
      </c>
      <c r="B21" s="108" t="s">
        <v>33</v>
      </c>
      <c r="C21" s="60">
        <f>1-2/$L$5</f>
        <v>0.15295495964592554</v>
      </c>
      <c r="D21" s="92"/>
    </row>
    <row r="22" spans="1:30" ht="15.75" customHeight="1" thickBot="1" x14ac:dyDescent="0.3">
      <c r="A22" s="135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5"/>
      <c r="B23" s="42" t="s">
        <v>35</v>
      </c>
      <c r="C23" s="43">
        <f t="shared" ref="C23:R23" si="11">C$8*(1-$C$21)</f>
        <v>2.5388924613430142</v>
      </c>
      <c r="D23" s="93">
        <f t="shared" si="11"/>
        <v>2.6996889838947387</v>
      </c>
      <c r="E23" s="44">
        <f t="shared" si="11"/>
        <v>3.0466709536116174</v>
      </c>
      <c r="F23" s="44">
        <f t="shared" si="11"/>
        <v>3.8929684407259555</v>
      </c>
      <c r="G23" s="44">
        <f t="shared" si="11"/>
        <v>2.5388924613430142</v>
      </c>
      <c r="H23" s="44">
        <f t="shared" si="11"/>
        <v>2.7081519587658822</v>
      </c>
      <c r="I23" s="44">
        <f t="shared" si="11"/>
        <v>3.5756068830580792</v>
      </c>
      <c r="J23" s="44">
        <f t="shared" si="11"/>
        <v>3.7237089433030879</v>
      </c>
      <c r="K23" s="44">
        <f t="shared" si="11"/>
        <v>3.6390791945916541</v>
      </c>
      <c r="L23" s="44">
        <f t="shared" si="11"/>
        <v>3.6390791945916541</v>
      </c>
      <c r="M23" s="44">
        <f t="shared" si="11"/>
        <v>3.5713753956225074</v>
      </c>
      <c r="N23" s="44">
        <f t="shared" si="11"/>
        <v>5.0100811237168825</v>
      </c>
      <c r="O23" s="44">
        <f t="shared" si="11"/>
        <v>5.1200997970417452</v>
      </c>
      <c r="P23" s="44">
        <f t="shared" si="11"/>
        <v>5.1251775819644321</v>
      </c>
      <c r="Q23" s="44">
        <f t="shared" si="11"/>
        <v>8.1244558762976471</v>
      </c>
      <c r="R23" s="45">
        <f t="shared" si="11"/>
        <v>10.155569845372057</v>
      </c>
    </row>
    <row r="24" spans="1:30" x14ac:dyDescent="0.25">
      <c r="A24" s="135"/>
      <c r="B24" s="22" t="s">
        <v>17</v>
      </c>
      <c r="C24" s="50">
        <f t="shared" ref="C24:R24" si="12">C23-C$11</f>
        <v>2.2415324613430143</v>
      </c>
      <c r="D24" s="94">
        <f t="shared" ref="D24" si="13">D23-D$11</f>
        <v>2.3651589838947387</v>
      </c>
      <c r="E24" s="51">
        <f t="shared" si="12"/>
        <v>2.7121409536116174</v>
      </c>
      <c r="F24" s="51">
        <f t="shared" si="12"/>
        <v>3.2982484407259554</v>
      </c>
      <c r="G24" s="51">
        <f t="shared" ref="G24" si="14">G23-G$11</f>
        <v>2.3158724613430142</v>
      </c>
      <c r="H24" s="51">
        <f t="shared" si="12"/>
        <v>2.4851319587658822</v>
      </c>
      <c r="I24" s="51">
        <f t="shared" si="12"/>
        <v>3.3030268830580791</v>
      </c>
      <c r="J24" s="51">
        <f t="shared" si="12"/>
        <v>3.426348943303088</v>
      </c>
      <c r="K24" s="51">
        <f t="shared" si="12"/>
        <v>3.3293291945916543</v>
      </c>
      <c r="L24" s="51">
        <f t="shared" si="12"/>
        <v>3.371455194591654</v>
      </c>
      <c r="M24" s="51">
        <f t="shared" si="12"/>
        <v>3.2244553956225075</v>
      </c>
      <c r="N24" s="51">
        <f t="shared" si="12"/>
        <v>4.4401411237168826</v>
      </c>
      <c r="O24" s="51">
        <f t="shared" si="12"/>
        <v>4.8227397970417449</v>
      </c>
      <c r="P24" s="51">
        <f t="shared" si="12"/>
        <v>4.8278175819644318</v>
      </c>
      <c r="Q24" s="51">
        <f t="shared" si="12"/>
        <v>7.4801758762976469</v>
      </c>
      <c r="R24" s="52">
        <f t="shared" si="12"/>
        <v>9.449339845372057</v>
      </c>
    </row>
    <row r="25" spans="1:30" x14ac:dyDescent="0.25">
      <c r="A25" s="135"/>
      <c r="B25" s="46" t="s">
        <v>15</v>
      </c>
      <c r="C25" s="47">
        <f t="shared" ref="C25:R25" si="15">IF(C24&gt;0,C$13/C24,"N/A")</f>
        <v>267.67401781926901</v>
      </c>
      <c r="D25" s="95">
        <f t="shared" ref="D25" si="16">IF(D24&gt;0,D$13/D24,"N/A")</f>
        <v>274.82296303381531</v>
      </c>
      <c r="E25" s="48">
        <f t="shared" si="15"/>
        <v>258.09867996272328</v>
      </c>
      <c r="F25" s="48">
        <f t="shared" si="15"/>
        <v>288.03166804223571</v>
      </c>
      <c r="G25" s="48">
        <f t="shared" ref="G25" si="17">IF(G24&gt;0,G$13/G24,"N/A")</f>
        <v>215.90135395886242</v>
      </c>
      <c r="H25" s="48">
        <f t="shared" si="15"/>
        <v>321.91449519536997</v>
      </c>
      <c r="I25" s="48">
        <f t="shared" si="15"/>
        <v>287.61497669690493</v>
      </c>
      <c r="J25" s="48">
        <f t="shared" si="15"/>
        <v>291.85585489024197</v>
      </c>
      <c r="K25" s="48">
        <f t="shared" si="15"/>
        <v>300.36080590181803</v>
      </c>
      <c r="L25" s="48">
        <f t="shared" si="15"/>
        <v>296.60782726822464</v>
      </c>
      <c r="M25" s="48">
        <f t="shared" si="15"/>
        <v>310.12989088253204</v>
      </c>
      <c r="N25" s="48">
        <f t="shared" si="15"/>
        <v>270.26168010521906</v>
      </c>
      <c r="O25" s="48">
        <f t="shared" si="15"/>
        <v>248.82121999119187</v>
      </c>
      <c r="P25" s="48">
        <f t="shared" si="15"/>
        <v>269.27280866130656</v>
      </c>
      <c r="Q25" s="48">
        <f t="shared" si="15"/>
        <v>247.32038799543139</v>
      </c>
      <c r="R25" s="49">
        <f t="shared" si="15"/>
        <v>293.88296383054461</v>
      </c>
    </row>
    <row r="26" spans="1:30" ht="15.75" thickBot="1" x14ac:dyDescent="0.3">
      <c r="A26" s="135"/>
      <c r="B26" s="53" t="s">
        <v>16</v>
      </c>
      <c r="C26" s="54">
        <f>IFERROR(C24*365/C$13,"N/A")</f>
        <v>1.3635989139836671</v>
      </c>
      <c r="D26" s="96">
        <f t="shared" ref="D26:R26" si="18">IFERROR(D24*365/D$13,"N/A")</f>
        <v>1.3281277371101226</v>
      </c>
      <c r="E26" s="55">
        <f t="shared" si="18"/>
        <v>1.414187782954629</v>
      </c>
      <c r="F26" s="55">
        <f t="shared" si="18"/>
        <v>1.2672217693315513</v>
      </c>
      <c r="G26" s="55">
        <f t="shared" si="18"/>
        <v>1.6905868967804003</v>
      </c>
      <c r="H26" s="55">
        <f t="shared" si="18"/>
        <v>1.1338414561869339</v>
      </c>
      <c r="I26" s="55">
        <f t="shared" si="18"/>
        <v>1.2690576971749461</v>
      </c>
      <c r="J26" s="55">
        <f t="shared" si="18"/>
        <v>1.2506173643056273</v>
      </c>
      <c r="K26" s="55">
        <f t="shared" si="18"/>
        <v>1.2152051560259538</v>
      </c>
      <c r="L26" s="55">
        <f t="shared" si="18"/>
        <v>1.2305811460259537</v>
      </c>
      <c r="M26" s="55">
        <f t="shared" si="18"/>
        <v>1.1769262194022154</v>
      </c>
      <c r="N26" s="55">
        <f t="shared" si="18"/>
        <v>1.3505429251305519</v>
      </c>
      <c r="O26" s="55">
        <f t="shared" si="18"/>
        <v>1.4669166882668641</v>
      </c>
      <c r="P26" s="55">
        <f t="shared" si="18"/>
        <v>1.3555026287823213</v>
      </c>
      <c r="Q26" s="55">
        <f t="shared" si="18"/>
        <v>1.4758184837019681</v>
      </c>
      <c r="R26" s="56">
        <f t="shared" si="18"/>
        <v>1.2419910131655747</v>
      </c>
    </row>
    <row r="27" spans="1:30" ht="108.75" customHeight="1" thickBot="1" x14ac:dyDescent="0.3">
      <c r="A27" s="136"/>
      <c r="B27" s="137" t="s">
        <v>38</v>
      </c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9"/>
    </row>
    <row r="28" spans="1:30" ht="15.75" thickBot="1" x14ac:dyDescent="0.3"/>
    <row r="29" spans="1:30" ht="15.75" thickBot="1" x14ac:dyDescent="0.3">
      <c r="A29" s="134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5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5"/>
      <c r="B31" s="42" t="s">
        <v>35</v>
      </c>
      <c r="C31" s="43">
        <f t="shared" ref="C31:R31" si="20">C$8*(1-$C$29)</f>
        <v>0.17706779140198597</v>
      </c>
      <c r="D31" s="93">
        <f t="shared" si="20"/>
        <v>0.1882820848574451</v>
      </c>
      <c r="E31" s="44">
        <f t="shared" si="20"/>
        <v>0.21248134968238319</v>
      </c>
      <c r="F31" s="44">
        <f t="shared" si="20"/>
        <v>0.27150394681637852</v>
      </c>
      <c r="G31" s="44">
        <f t="shared" si="20"/>
        <v>0.17706779140198597</v>
      </c>
      <c r="H31" s="44">
        <f t="shared" si="20"/>
        <v>0.18887231082878506</v>
      </c>
      <c r="I31" s="44">
        <f t="shared" si="20"/>
        <v>0.24937047289113029</v>
      </c>
      <c r="J31" s="44">
        <f t="shared" si="20"/>
        <v>0.25969942738957941</v>
      </c>
      <c r="K31" s="44">
        <f t="shared" si="20"/>
        <v>0.25379716767617994</v>
      </c>
      <c r="L31" s="44">
        <f t="shared" si="20"/>
        <v>0.25379716767617994</v>
      </c>
      <c r="M31" s="44">
        <f t="shared" si="20"/>
        <v>0.24907535990546031</v>
      </c>
      <c r="N31" s="44">
        <f t="shared" si="20"/>
        <v>0.34941377503325244</v>
      </c>
      <c r="O31" s="44">
        <f t="shared" si="20"/>
        <v>0.35708671266067171</v>
      </c>
      <c r="P31" s="44">
        <f t="shared" si="20"/>
        <v>0.35744084824347572</v>
      </c>
      <c r="Q31" s="44">
        <f t="shared" si="20"/>
        <v>0.56661693248635514</v>
      </c>
      <c r="R31" s="45">
        <f t="shared" si="20"/>
        <v>0.7082711656079439</v>
      </c>
    </row>
    <row r="32" spans="1:30" x14ac:dyDescent="0.25">
      <c r="A32" s="135"/>
      <c r="B32" s="22" t="s">
        <v>17</v>
      </c>
      <c r="C32" s="50">
        <f t="shared" ref="C32:R32" si="21">C31-C$11</f>
        <v>-0.12029220859801398</v>
      </c>
      <c r="D32" s="94">
        <f t="shared" ref="D32" si="22">D31-D$11</f>
        <v>-0.14624791514255495</v>
      </c>
      <c r="E32" s="51">
        <f t="shared" si="21"/>
        <v>-0.12204865031761686</v>
      </c>
      <c r="F32" s="51">
        <f t="shared" si="21"/>
        <v>-0.3232160531836214</v>
      </c>
      <c r="G32" s="51">
        <f t="shared" ref="G32" si="23">G31-G$11</f>
        <v>-4.5952208598014022E-2</v>
      </c>
      <c r="H32" s="51">
        <f t="shared" si="21"/>
        <v>-3.414768917121494E-2</v>
      </c>
      <c r="I32" s="51">
        <f t="shared" si="21"/>
        <v>-2.3209527108869699E-2</v>
      </c>
      <c r="J32" s="51">
        <f t="shared" si="21"/>
        <v>-3.7660572610420551E-2</v>
      </c>
      <c r="K32" s="51">
        <f t="shared" si="21"/>
        <v>-5.5952832323820034E-2</v>
      </c>
      <c r="L32" s="51">
        <f t="shared" si="21"/>
        <v>-1.3826832323820037E-2</v>
      </c>
      <c r="M32" s="51">
        <f t="shared" si="21"/>
        <v>-9.7844640094539637E-2</v>
      </c>
      <c r="N32" s="51">
        <f t="shared" si="21"/>
        <v>-0.22052622496674745</v>
      </c>
      <c r="O32" s="51">
        <f t="shared" si="21"/>
        <v>5.9726712660671755E-2</v>
      </c>
      <c r="P32" s="51">
        <f t="shared" si="21"/>
        <v>6.008084824347576E-2</v>
      </c>
      <c r="Q32" s="51">
        <f t="shared" si="21"/>
        <v>-7.7663067513644823E-2</v>
      </c>
      <c r="R32" s="52">
        <f t="shared" si="21"/>
        <v>2.0411656079439844E-3</v>
      </c>
    </row>
    <row r="33" spans="1:18" x14ac:dyDescent="0.25">
      <c r="A33" s="135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20091.51260036054</v>
      </c>
      <c r="P33" s="48">
        <f t="shared" si="24"/>
        <v>21637.510754372019</v>
      </c>
      <c r="Q33" s="48" t="str">
        <f t="shared" si="24"/>
        <v>N/A</v>
      </c>
      <c r="R33" s="49">
        <f t="shared" si="24"/>
        <v>1360497.1537793071</v>
      </c>
    </row>
    <row r="34" spans="1:18" ht="15.75" thickBot="1" x14ac:dyDescent="0.3">
      <c r="A34" s="135"/>
      <c r="B34" s="53" t="s">
        <v>16</v>
      </c>
      <c r="C34" s="54">
        <f>IFERROR(C32*365/C$13,"N/A")</f>
        <v>-7.3177760230458508E-2</v>
      </c>
      <c r="D34" s="96">
        <f t="shared" ref="D34:R34" si="27">IFERROR(D32*365/D$13,"N/A")</f>
        <v>-8.2123829272357771E-2</v>
      </c>
      <c r="E34" s="55">
        <f t="shared" si="27"/>
        <v>-6.3639653379900213E-2</v>
      </c>
      <c r="F34" s="55">
        <f t="shared" si="27"/>
        <v>-0.12418300990739138</v>
      </c>
      <c r="G34" s="55">
        <f t="shared" si="27"/>
        <v>-3.3545112276550236E-2</v>
      </c>
      <c r="H34" s="55">
        <f t="shared" si="27"/>
        <v>-1.5579883184366816E-2</v>
      </c>
      <c r="I34" s="55">
        <f t="shared" si="27"/>
        <v>-8.9173446260394102E-3</v>
      </c>
      <c r="J34" s="55">
        <f t="shared" si="27"/>
        <v>-1.37461090028035E-2</v>
      </c>
      <c r="K34" s="55">
        <f t="shared" si="27"/>
        <v>-2.0422783798194313E-2</v>
      </c>
      <c r="L34" s="55">
        <f t="shared" si="27"/>
        <v>-5.0467937981943135E-3</v>
      </c>
      <c r="M34" s="55">
        <f t="shared" si="27"/>
        <v>-3.5713293634506968E-2</v>
      </c>
      <c r="N34" s="55">
        <f t="shared" si="27"/>
        <v>-6.7076726760719019E-2</v>
      </c>
      <c r="O34" s="55">
        <f t="shared" si="27"/>
        <v>1.8166875100954324E-2</v>
      </c>
      <c r="P34" s="55">
        <f t="shared" si="27"/>
        <v>1.6868853545283578E-2</v>
      </c>
      <c r="Q34" s="55">
        <f t="shared" si="27"/>
        <v>-1.5322713320259656E-2</v>
      </c>
      <c r="R34" s="56">
        <f t="shared" si="27"/>
        <v>2.6828428048237461E-4</v>
      </c>
    </row>
    <row r="35" spans="1:18" ht="80.25" customHeight="1" thickBot="1" x14ac:dyDescent="0.3">
      <c r="A35" s="136"/>
      <c r="B35" s="137" t="s">
        <v>47</v>
      </c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9"/>
    </row>
    <row r="36" spans="1:18" ht="15.75" thickBot="1" x14ac:dyDescent="0.3"/>
    <row r="37" spans="1:18" ht="15.75" thickBot="1" x14ac:dyDescent="0.3">
      <c r="A37" s="134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5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5"/>
      <c r="B39" s="42" t="s">
        <v>35</v>
      </c>
      <c r="C39" s="43">
        <f t="shared" ref="C39:R39" si="29">C$8*(1-$C$37)</f>
        <v>1.0346732389152182</v>
      </c>
      <c r="D39" s="93">
        <f t="shared" si="29"/>
        <v>1.1002025440465155</v>
      </c>
      <c r="E39" s="44">
        <f t="shared" si="29"/>
        <v>1.2416078866982621</v>
      </c>
      <c r="F39" s="44">
        <f t="shared" si="29"/>
        <v>1.5864989663366682</v>
      </c>
      <c r="G39" s="44">
        <f t="shared" si="29"/>
        <v>1.0346732389152182</v>
      </c>
      <c r="H39" s="44">
        <f t="shared" si="29"/>
        <v>1.1036514548428995</v>
      </c>
      <c r="I39" s="44">
        <f t="shared" si="29"/>
        <v>1.457164811472266</v>
      </c>
      <c r="J39" s="44">
        <f t="shared" si="29"/>
        <v>1.5175207504089869</v>
      </c>
      <c r="K39" s="44">
        <f t="shared" si="29"/>
        <v>1.4830316424451464</v>
      </c>
      <c r="L39" s="44">
        <f t="shared" si="29"/>
        <v>1.4830316424451464</v>
      </c>
      <c r="M39" s="44">
        <f t="shared" si="29"/>
        <v>1.4554403560740741</v>
      </c>
      <c r="N39" s="44">
        <f t="shared" si="29"/>
        <v>2.0417551914593646</v>
      </c>
      <c r="O39" s="44">
        <f t="shared" si="29"/>
        <v>2.0865910318123571</v>
      </c>
      <c r="P39" s="44">
        <f t="shared" si="29"/>
        <v>2.0886603782901876</v>
      </c>
      <c r="Q39" s="44">
        <f t="shared" si="29"/>
        <v>3.310954364528699</v>
      </c>
      <c r="R39" s="45">
        <f t="shared" si="29"/>
        <v>4.1386929556608729</v>
      </c>
    </row>
    <row r="40" spans="1:18" x14ac:dyDescent="0.25">
      <c r="A40" s="135"/>
      <c r="B40" s="22" t="s">
        <v>17</v>
      </c>
      <c r="C40" s="50">
        <f>C39-C$11</f>
        <v>0.73731323891521827</v>
      </c>
      <c r="D40" s="94">
        <f>D39-D$11</f>
        <v>0.76567254404651552</v>
      </c>
      <c r="E40" s="51">
        <f>E39-E$11</f>
        <v>0.90707788669826206</v>
      </c>
      <c r="F40" s="51">
        <f t="shared" ref="F40:G40" si="30">F39-F$11</f>
        <v>0.99177896633666829</v>
      </c>
      <c r="G40" s="51">
        <f t="shared" si="30"/>
        <v>0.81165323891521823</v>
      </c>
      <c r="H40" s="51">
        <f t="shared" ref="H40" si="31">H39-H$11</f>
        <v>0.88063145484289951</v>
      </c>
      <c r="I40" s="51">
        <f t="shared" ref="I40" si="32">I39-I$11</f>
        <v>1.1845848114722659</v>
      </c>
      <c r="J40" s="51">
        <f t="shared" ref="J40" si="33">J39-J$11</f>
        <v>1.2201607504089869</v>
      </c>
      <c r="K40" s="51">
        <f t="shared" ref="K40" si="34">K39-K$11</f>
        <v>1.1732816424451464</v>
      </c>
      <c r="L40" s="51">
        <f t="shared" ref="L40" si="35">L39-L$11</f>
        <v>1.2154076424451463</v>
      </c>
      <c r="M40" s="51">
        <f t="shared" ref="M40" si="36">M39-M$11</f>
        <v>1.1085203560740742</v>
      </c>
      <c r="N40" s="51">
        <f t="shared" ref="N40" si="37">N39-N$11</f>
        <v>1.4718151914593647</v>
      </c>
      <c r="O40" s="51">
        <f t="shared" ref="O40" si="38">O39-O$11</f>
        <v>1.7892310318123572</v>
      </c>
      <c r="P40" s="51">
        <f t="shared" ref="P40" si="39">P39-P$11</f>
        <v>1.7913003782901877</v>
      </c>
      <c r="Q40" s="51">
        <f t="shared" ref="Q40" si="40">Q39-Q$11</f>
        <v>2.6666743645286992</v>
      </c>
      <c r="R40" s="52">
        <f>R39-R$11</f>
        <v>3.4324629556608732</v>
      </c>
    </row>
    <row r="41" spans="1:18" x14ac:dyDescent="0.25">
      <c r="A41" s="135"/>
      <c r="B41" s="46" t="s">
        <v>15</v>
      </c>
      <c r="C41" s="47">
        <f>IF(C40&gt;0,C$13/C40,"N/A")</f>
        <v>813.76539621444726</v>
      </c>
      <c r="D41" s="95">
        <f>IF(D40&gt;0,D$13/D40,"N/A")</f>
        <v>848.92687488153126</v>
      </c>
      <c r="E41" s="48">
        <f>IF(E40&gt;0,E$13/E40,"N/A")</f>
        <v>771.70881383513859</v>
      </c>
      <c r="F41" s="48">
        <f t="shared" ref="F41:G41" si="41">IF(F40&gt;0,F$13/F40,"N/A")</f>
        <v>957.87472032101346</v>
      </c>
      <c r="G41" s="48">
        <f t="shared" si="41"/>
        <v>616.02661829854139</v>
      </c>
      <c r="H41" s="48">
        <f t="shared" ref="H41" si="42">IF(H40&gt;0,H$13/H40,"N/A")</f>
        <v>908.43904745909424</v>
      </c>
      <c r="I41" s="48">
        <f t="shared" ref="I41" si="43">IF(I40&gt;0,I$13/I40,"N/A")</f>
        <v>801.96874955647013</v>
      </c>
      <c r="J41" s="48">
        <f t="shared" ref="J41" si="44">IF(J40&gt;0,J$13/J40,"N/A")</f>
        <v>819.56414322031674</v>
      </c>
      <c r="K41" s="48">
        <f t="shared" ref="K41" si="45">IF(K40&gt;0,K$13/K40,"N/A")</f>
        <v>852.31027557541643</v>
      </c>
      <c r="L41" s="48">
        <f t="shared" ref="L41" si="46">IF(L40&gt;0,L$13/L40,"N/A")</f>
        <v>822.7692216812203</v>
      </c>
      <c r="M41" s="48">
        <f t="shared" ref="M41" si="47">IF(M40&gt;0,M$13/M40,"N/A")</f>
        <v>902.10341607220562</v>
      </c>
      <c r="N41" s="48">
        <f t="shared" ref="N41" si="48">IF(N40&gt;0,N$13/N40,"N/A")</f>
        <v>815.31975411270969</v>
      </c>
      <c r="O41" s="48">
        <f t="shared" ref="O41" si="49">IF(O40&gt;0,O$13/O40,"N/A")</f>
        <v>670.67917930335125</v>
      </c>
      <c r="P41" s="48">
        <f t="shared" ref="P41" si="50">IF(P40&gt;0,P$13/P40,"N/A")</f>
        <v>725.72976355917569</v>
      </c>
      <c r="Q41" s="48">
        <f t="shared" ref="Q41" si="51">IF(Q40&gt;0,Q$13/Q40,"N/A")</f>
        <v>693.74799735886165</v>
      </c>
      <c r="R41" s="49">
        <f>IF(R40&gt;0,R$13/R40,"N/A")</f>
        <v>809.04004962970589</v>
      </c>
    </row>
    <row r="42" spans="1:18" ht="15.75" thickBot="1" x14ac:dyDescent="0.3">
      <c r="A42" s="135"/>
      <c r="B42" s="53" t="s">
        <v>16</v>
      </c>
      <c r="C42" s="12">
        <f>IFERROR(C40*365/C$13,"N/A")</f>
        <v>0.4485322203400911</v>
      </c>
      <c r="D42" s="97">
        <f t="shared" ref="D42:R42" si="52">IFERROR(D40*365/D$13,"N/A")</f>
        <v>0.42995458242612028</v>
      </c>
      <c r="E42" s="13">
        <f t="shared" si="52"/>
        <v>0.47297632663552236</v>
      </c>
      <c r="F42" s="13">
        <f t="shared" si="52"/>
        <v>0.38105191864514099</v>
      </c>
      <c r="G42" s="13">
        <f t="shared" si="52"/>
        <v>0.59250686440810929</v>
      </c>
      <c r="H42" s="13">
        <f t="shared" si="52"/>
        <v>0.40178810127207293</v>
      </c>
      <c r="I42" s="13">
        <f t="shared" si="52"/>
        <v>0.4551299538814495</v>
      </c>
      <c r="J42" s="13">
        <f t="shared" si="52"/>
        <v>0.44535867389928019</v>
      </c>
      <c r="K42" s="13">
        <f t="shared" si="52"/>
        <v>0.42824779949247849</v>
      </c>
      <c r="L42" s="13">
        <f t="shared" si="52"/>
        <v>0.44362378949247838</v>
      </c>
      <c r="M42" s="13">
        <f t="shared" si="52"/>
        <v>0.4046099299670371</v>
      </c>
      <c r="N42" s="13">
        <f t="shared" si="52"/>
        <v>0.44767712073555677</v>
      </c>
      <c r="O42" s="13">
        <f t="shared" si="52"/>
        <v>0.54422443884292537</v>
      </c>
      <c r="P42" s="13">
        <f t="shared" si="52"/>
        <v>0.50294202928916809</v>
      </c>
      <c r="Q42" s="13">
        <f t="shared" si="52"/>
        <v>0.52612764489350017</v>
      </c>
      <c r="R42" s="14">
        <f t="shared" si="52"/>
        <v>0.45115195492121668</v>
      </c>
    </row>
    <row r="43" spans="1:18" ht="74.25" customHeight="1" thickBot="1" x14ac:dyDescent="0.3">
      <c r="A43" s="136"/>
      <c r="B43" s="137" t="s">
        <v>37</v>
      </c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9"/>
    </row>
    <row r="44" spans="1:18" x14ac:dyDescent="0.25"/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S21" sqref="S21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40" t="s">
        <v>75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20" x14ac:dyDescent="0.25">
      <c r="A2" s="155" t="s">
        <v>44</v>
      </c>
      <c r="B2" s="155"/>
      <c r="C2" s="126">
        <f>'Card Data'!$B$2</f>
        <v>44419</v>
      </c>
      <c r="D2" s="127"/>
      <c r="O2" s="154" t="s">
        <v>49</v>
      </c>
      <c r="P2" s="154"/>
      <c r="Q2" s="154"/>
      <c r="R2" s="154"/>
    </row>
    <row r="3" spans="1:20" ht="15.75" thickBot="1" x14ac:dyDescent="0.3"/>
    <row r="4" spans="1:20" ht="15.75" thickBot="1" x14ac:dyDescent="0.3">
      <c r="A4" s="134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4028.51</v>
      </c>
      <c r="I4" s="1"/>
      <c r="J4" s="150" t="s">
        <v>113</v>
      </c>
      <c r="K4" s="151"/>
      <c r="L4" s="57">
        <f>'Card Data'!$C$7</f>
        <v>6507</v>
      </c>
      <c r="N4" s="132" t="s">
        <v>48</v>
      </c>
      <c r="O4" s="133"/>
      <c r="P4" s="152">
        <f>$L$4*$L$5*$H$4/$D$5/10000</f>
        <v>9.9911745750919714</v>
      </c>
    </row>
    <row r="5" spans="1:20" ht="15.75" thickBot="1" x14ac:dyDescent="0.3">
      <c r="A5" s="135"/>
      <c r="B5" s="150" t="s">
        <v>46</v>
      </c>
      <c r="C5" s="151"/>
      <c r="D5" s="58">
        <f>'Card Data'!$C$4</f>
        <v>619.48699999999997</v>
      </c>
      <c r="E5" s="1"/>
      <c r="F5" s="150" t="s">
        <v>112</v>
      </c>
      <c r="G5" s="151"/>
      <c r="H5" s="57">
        <f>'Card Data'!$C$6</f>
        <v>15364</v>
      </c>
      <c r="I5" s="1"/>
      <c r="J5" s="150" t="s">
        <v>39</v>
      </c>
      <c r="K5" s="151"/>
      <c r="L5" s="59">
        <f>$H$5/$L$4</f>
        <v>2.3611495312740125</v>
      </c>
      <c r="N5" s="156"/>
      <c r="O5" s="157"/>
      <c r="P5" s="153"/>
    </row>
    <row r="6" spans="1:20" ht="15.75" thickBot="1" x14ac:dyDescent="0.3">
      <c r="A6" s="135"/>
    </row>
    <row r="7" spans="1:20" ht="15.75" thickBot="1" x14ac:dyDescent="0.3">
      <c r="A7" s="135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35"/>
      <c r="B8" s="26" t="s">
        <v>51</v>
      </c>
      <c r="C8" s="61">
        <f t="shared" ref="C8:R8" si="0">$P$4*C9/100</f>
        <v>3.0373170708279593</v>
      </c>
      <c r="D8" s="83">
        <f t="shared" si="0"/>
        <v>3.0373170708279593</v>
      </c>
      <c r="E8" s="27">
        <f t="shared" si="0"/>
        <v>3.0473082454030513</v>
      </c>
      <c r="F8" s="27">
        <f t="shared" si="0"/>
        <v>3.1272376420037871</v>
      </c>
      <c r="G8" s="27">
        <f t="shared" si="0"/>
        <v>3.0772817691283274</v>
      </c>
      <c r="H8" s="27">
        <f t="shared" si="0"/>
        <v>2.5977053895239122</v>
      </c>
      <c r="I8" s="27">
        <f t="shared" si="0"/>
        <v>3.6967345927840296</v>
      </c>
      <c r="J8" s="27">
        <f t="shared" si="0"/>
        <v>5.3452783976742042</v>
      </c>
      <c r="K8" s="27">
        <f t="shared" si="0"/>
        <v>5.4651724925753085</v>
      </c>
      <c r="L8" s="27">
        <f t="shared" si="0"/>
        <v>4.6958520502932268</v>
      </c>
      <c r="M8" s="27">
        <f t="shared" si="0"/>
        <v>6.3344046806083103</v>
      </c>
      <c r="N8" s="27">
        <f t="shared" si="0"/>
        <v>6.4343164263592305</v>
      </c>
      <c r="O8" s="27">
        <f t="shared" si="0"/>
        <v>6.3943517280588615</v>
      </c>
      <c r="P8" s="27">
        <f t="shared" si="0"/>
        <v>3.8565933859855011</v>
      </c>
      <c r="Q8" s="27">
        <f t="shared" si="0"/>
        <v>4.6958520502932268</v>
      </c>
      <c r="R8" s="28">
        <f t="shared" si="0"/>
        <v>9.0420129904582343</v>
      </c>
    </row>
    <row r="9" spans="1:20" x14ac:dyDescent="0.25">
      <c r="A9" s="135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5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5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5"/>
      <c r="B12" s="29" t="s">
        <v>52</v>
      </c>
      <c r="C12" s="33">
        <f t="shared" ref="C12:R12" si="2">C8-C11</f>
        <v>2.7399570708279595</v>
      </c>
      <c r="D12" s="87">
        <f t="shared" si="2"/>
        <v>2.7151770708279592</v>
      </c>
      <c r="E12" s="34">
        <f t="shared" si="2"/>
        <v>2.7251682454030512</v>
      </c>
      <c r="F12" s="34">
        <f t="shared" si="2"/>
        <v>2.805097642003787</v>
      </c>
      <c r="G12" s="34">
        <f t="shared" si="2"/>
        <v>2.7551417691283273</v>
      </c>
      <c r="H12" s="34">
        <f>H8-H11</f>
        <v>2.4242453895239122</v>
      </c>
      <c r="I12" s="34">
        <f t="shared" si="2"/>
        <v>3.4489345927840298</v>
      </c>
      <c r="J12" s="34">
        <f t="shared" si="2"/>
        <v>4.9487983976742047</v>
      </c>
      <c r="K12" s="34">
        <f t="shared" si="2"/>
        <v>5.1182524925753086</v>
      </c>
      <c r="L12" s="34">
        <f t="shared" si="2"/>
        <v>4.2745920502932266</v>
      </c>
      <c r="M12" s="34">
        <f t="shared" si="2"/>
        <v>5.9007546806083102</v>
      </c>
      <c r="N12" s="34">
        <f t="shared" si="2"/>
        <v>5.9634964263592307</v>
      </c>
      <c r="O12" s="34">
        <f t="shared" si="2"/>
        <v>5.8491917280588615</v>
      </c>
      <c r="P12" s="34">
        <f t="shared" si="2"/>
        <v>3.3238233859855013</v>
      </c>
      <c r="Q12" s="34">
        <f t="shared" si="2"/>
        <v>4.1506920502932267</v>
      </c>
      <c r="R12" s="35">
        <f t="shared" si="2"/>
        <v>8.4968529904582351</v>
      </c>
    </row>
    <row r="13" spans="1:20" ht="17.25" x14ac:dyDescent="0.25">
      <c r="A13" s="135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5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5"/>
      <c r="B15" s="15" t="s">
        <v>54</v>
      </c>
      <c r="C15" s="39">
        <f t="shared" ref="C15:R15" si="4">C13/C12</f>
        <v>182.48461091724701</v>
      </c>
      <c r="D15" s="90">
        <f t="shared" si="4"/>
        <v>184.15005244852458</v>
      </c>
      <c r="E15" s="40">
        <f t="shared" si="4"/>
        <v>183.47491052834067</v>
      </c>
      <c r="F15" s="40">
        <f t="shared" si="4"/>
        <v>178.24691465742745</v>
      </c>
      <c r="G15" s="40">
        <f t="shared" si="4"/>
        <v>181.47886457334286</v>
      </c>
      <c r="H15" s="40">
        <f t="shared" si="4"/>
        <v>206.24974771971949</v>
      </c>
      <c r="I15" s="40">
        <f t="shared" si="4"/>
        <v>188.46399736311341</v>
      </c>
      <c r="J15" s="40">
        <f t="shared" si="4"/>
        <v>181.86232852463226</v>
      </c>
      <c r="K15" s="40">
        <f t="shared" si="4"/>
        <v>185.61022563425675</v>
      </c>
      <c r="L15" s="40">
        <f t="shared" si="4"/>
        <v>187.15236228100923</v>
      </c>
      <c r="M15" s="40">
        <f t="shared" si="4"/>
        <v>220.31080266261512</v>
      </c>
      <c r="N15" s="40">
        <f t="shared" si="4"/>
        <v>285.06766474879328</v>
      </c>
      <c r="O15" s="40">
        <f t="shared" si="4"/>
        <v>273.54206775693831</v>
      </c>
      <c r="P15" s="40">
        <f t="shared" si="4"/>
        <v>210.6008408724318</v>
      </c>
      <c r="Q15" s="40">
        <f t="shared" si="4"/>
        <v>204.78512732351501</v>
      </c>
      <c r="R15" s="41">
        <f t="shared" si="4"/>
        <v>247.15032758107623</v>
      </c>
    </row>
    <row r="16" spans="1:20" ht="18" thickBot="1" x14ac:dyDescent="0.3">
      <c r="A16" s="136"/>
      <c r="B16" s="8" t="s">
        <v>40</v>
      </c>
      <c r="C16" s="36">
        <f>IFERROR(C12*365/C13,"N/A")</f>
        <v>2.0001686617044103</v>
      </c>
      <c r="D16" s="91">
        <f t="shared" ref="D16:R16" si="5">IFERROR(D12*365/D13,"N/A")</f>
        <v>1.9820792617044103</v>
      </c>
      <c r="E16" s="37">
        <f t="shared" si="5"/>
        <v>1.9893728191442275</v>
      </c>
      <c r="F16" s="37">
        <f t="shared" si="5"/>
        <v>2.0477212786627645</v>
      </c>
      <c r="G16" s="37">
        <f t="shared" si="5"/>
        <v>2.011253491463679</v>
      </c>
      <c r="H16" s="37">
        <f t="shared" si="5"/>
        <v>1.769699134352456</v>
      </c>
      <c r="I16" s="37">
        <f t="shared" si="5"/>
        <v>1.9367094251787247</v>
      </c>
      <c r="J16" s="37">
        <f t="shared" si="5"/>
        <v>2.0070126835012054</v>
      </c>
      <c r="K16" s="37">
        <f t="shared" si="5"/>
        <v>1.9664864839894605</v>
      </c>
      <c r="L16" s="37">
        <f t="shared" si="5"/>
        <v>1.9502826229462846</v>
      </c>
      <c r="M16" s="37">
        <f t="shared" si="5"/>
        <v>1.6567503526323333</v>
      </c>
      <c r="N16" s="37">
        <f t="shared" si="5"/>
        <v>1.2803977621300702</v>
      </c>
      <c r="O16" s="37">
        <f t="shared" si="5"/>
        <v>1.3343468629634279</v>
      </c>
      <c r="P16" s="37">
        <f t="shared" si="5"/>
        <v>1.7331364798352973</v>
      </c>
      <c r="Q16" s="37">
        <f t="shared" si="5"/>
        <v>1.7823559980670916</v>
      </c>
      <c r="R16" s="38">
        <f t="shared" si="5"/>
        <v>1.4768339721510741</v>
      </c>
    </row>
    <row r="17" spans="1:18" ht="15.75" thickBot="1" x14ac:dyDescent="0.3"/>
    <row r="18" spans="1:18" ht="15.75" thickBot="1" x14ac:dyDescent="0.3">
      <c r="A18" s="134" t="s">
        <v>18</v>
      </c>
      <c r="B18" s="108" t="s">
        <v>33</v>
      </c>
      <c r="C18" s="60">
        <f>1-2/$L$5</f>
        <v>0.15295495964592554</v>
      </c>
      <c r="D18" s="92"/>
    </row>
    <row r="19" spans="1:18" ht="15.75" customHeight="1" thickBot="1" x14ac:dyDescent="0.3">
      <c r="A19" s="135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5"/>
      <c r="B20" s="42" t="s">
        <v>35</v>
      </c>
      <c r="C20" s="43">
        <f t="shared" ref="C20:R20" si="7">C$8*(1-$C$18)</f>
        <v>2.572744360827588</v>
      </c>
      <c r="D20" s="93">
        <f t="shared" si="7"/>
        <v>2.572744360827588</v>
      </c>
      <c r="E20" s="44">
        <f t="shared" si="7"/>
        <v>2.5812073356987315</v>
      </c>
      <c r="F20" s="44">
        <f t="shared" si="7"/>
        <v>2.6489111346678786</v>
      </c>
      <c r="G20" s="44">
        <f t="shared" si="7"/>
        <v>2.6065962603121617</v>
      </c>
      <c r="H20" s="44">
        <f t="shared" si="7"/>
        <v>2.2003734664972789</v>
      </c>
      <c r="I20" s="44">
        <f t="shared" si="7"/>
        <v>3.1313007023230512</v>
      </c>
      <c r="J20" s="44">
        <f t="shared" si="7"/>
        <v>4.5276915560617086</v>
      </c>
      <c r="K20" s="44">
        <f t="shared" si="7"/>
        <v>4.6292472545154295</v>
      </c>
      <c r="L20" s="44">
        <f t="shared" si="7"/>
        <v>3.9775981894373897</v>
      </c>
      <c r="M20" s="44">
        <f t="shared" si="7"/>
        <v>5.365526068304904</v>
      </c>
      <c r="N20" s="44">
        <f t="shared" si="7"/>
        <v>5.4501558170163387</v>
      </c>
      <c r="O20" s="44">
        <f t="shared" si="7"/>
        <v>5.4163039175317644</v>
      </c>
      <c r="P20" s="44">
        <f t="shared" si="7"/>
        <v>3.2667083002613455</v>
      </c>
      <c r="Q20" s="44">
        <f t="shared" si="7"/>
        <v>3.9775981894373897</v>
      </c>
      <c r="R20" s="45">
        <f t="shared" si="7"/>
        <v>7.6589922583847603</v>
      </c>
    </row>
    <row r="21" spans="1:18" x14ac:dyDescent="0.25">
      <c r="A21" s="135"/>
      <c r="B21" s="22" t="s">
        <v>17</v>
      </c>
      <c r="C21" s="50">
        <f t="shared" ref="C21:R21" si="8">C20-C$11</f>
        <v>2.2753843608275881</v>
      </c>
      <c r="D21" s="94">
        <f t="shared" si="8"/>
        <v>2.2506043608275879</v>
      </c>
      <c r="E21" s="51">
        <f t="shared" si="8"/>
        <v>2.2590673356987314</v>
      </c>
      <c r="F21" s="51">
        <f t="shared" si="8"/>
        <v>2.3267711346678785</v>
      </c>
      <c r="G21" s="51">
        <f t="shared" si="8"/>
        <v>2.2844562603121616</v>
      </c>
      <c r="H21" s="51">
        <f t="shared" si="8"/>
        <v>2.026913466497279</v>
      </c>
      <c r="I21" s="51">
        <f t="shared" si="8"/>
        <v>2.8835007023230514</v>
      </c>
      <c r="J21" s="51">
        <f t="shared" si="8"/>
        <v>4.1312115560617091</v>
      </c>
      <c r="K21" s="51">
        <f t="shared" si="8"/>
        <v>4.2823272545154296</v>
      </c>
      <c r="L21" s="51">
        <f t="shared" si="8"/>
        <v>3.5563381894373896</v>
      </c>
      <c r="M21" s="51">
        <f t="shared" si="8"/>
        <v>4.9318760683049039</v>
      </c>
      <c r="N21" s="51">
        <f t="shared" si="8"/>
        <v>4.9793358170163389</v>
      </c>
      <c r="O21" s="51">
        <f t="shared" si="8"/>
        <v>4.8711439175317643</v>
      </c>
      <c r="P21" s="51">
        <f t="shared" si="8"/>
        <v>2.7339383002613458</v>
      </c>
      <c r="Q21" s="51">
        <f t="shared" si="8"/>
        <v>3.4324381894373897</v>
      </c>
      <c r="R21" s="52">
        <f t="shared" si="8"/>
        <v>7.1138322583847602</v>
      </c>
    </row>
    <row r="22" spans="1:18" x14ac:dyDescent="0.25">
      <c r="A22" s="135"/>
      <c r="B22" s="46" t="s">
        <v>15</v>
      </c>
      <c r="C22" s="47">
        <f t="shared" ref="C22:R22" si="9">IF(C21&gt;0,C$13/C21,"N/A")</f>
        <v>219.74309422525135</v>
      </c>
      <c r="D22" s="95">
        <f t="shared" si="9"/>
        <v>222.16254829264659</v>
      </c>
      <c r="E22" s="48">
        <f t="shared" si="9"/>
        <v>221.33027736658835</v>
      </c>
      <c r="F22" s="48">
        <f t="shared" si="9"/>
        <v>214.89006484145233</v>
      </c>
      <c r="G22" s="48">
        <f t="shared" si="9"/>
        <v>218.87046326362014</v>
      </c>
      <c r="H22" s="48">
        <f t="shared" si="9"/>
        <v>246.68048649558432</v>
      </c>
      <c r="I22" s="48">
        <f t="shared" si="9"/>
        <v>225.42044102029755</v>
      </c>
      <c r="J22" s="48">
        <f t="shared" si="9"/>
        <v>217.85376705761627</v>
      </c>
      <c r="K22" s="48">
        <f t="shared" si="9"/>
        <v>221.84199000631912</v>
      </c>
      <c r="L22" s="48">
        <f t="shared" si="9"/>
        <v>224.95048484873129</v>
      </c>
      <c r="M22" s="48">
        <f t="shared" si="9"/>
        <v>263.59137618127795</v>
      </c>
      <c r="N22" s="48">
        <f t="shared" si="9"/>
        <v>341.41099585820962</v>
      </c>
      <c r="O22" s="48">
        <f t="shared" si="9"/>
        <v>328.46494110786381</v>
      </c>
      <c r="P22" s="48">
        <f t="shared" si="9"/>
        <v>256.04089160793598</v>
      </c>
      <c r="Q22" s="48">
        <f t="shared" si="9"/>
        <v>247.63737992884975</v>
      </c>
      <c r="R22" s="49">
        <f t="shared" si="9"/>
        <v>295.19953855038159</v>
      </c>
    </row>
    <row r="23" spans="1:18" ht="15.75" thickBot="1" x14ac:dyDescent="0.3">
      <c r="A23" s="136"/>
      <c r="B23" s="53" t="s">
        <v>16</v>
      </c>
      <c r="C23" s="54">
        <f>IFERROR(C21*365/C$13,"N/A")</f>
        <v>1.6610305834041394</v>
      </c>
      <c r="D23" s="96">
        <f t="shared" ref="D23:R23" si="10">IFERROR(D21*365/D$13,"N/A")</f>
        <v>1.6429411834041392</v>
      </c>
      <c r="E23" s="55">
        <f t="shared" si="10"/>
        <v>1.6491191550600741</v>
      </c>
      <c r="F23" s="55">
        <f t="shared" si="10"/>
        <v>1.6985429283075515</v>
      </c>
      <c r="G23" s="55">
        <f t="shared" si="10"/>
        <v>1.667653070027878</v>
      </c>
      <c r="H23" s="55">
        <f t="shared" si="10"/>
        <v>1.4796468305430137</v>
      </c>
      <c r="I23" s="55">
        <f t="shared" si="10"/>
        <v>1.6191965482275597</v>
      </c>
      <c r="J23" s="55">
        <f t="shared" si="10"/>
        <v>1.6754357977361376</v>
      </c>
      <c r="K23" s="55">
        <f t="shared" si="10"/>
        <v>1.6453152083138229</v>
      </c>
      <c r="L23" s="55">
        <f t="shared" si="10"/>
        <v>1.622579298930809</v>
      </c>
      <c r="M23" s="55">
        <f t="shared" si="10"/>
        <v>1.3847190499471462</v>
      </c>
      <c r="N23" s="55">
        <f t="shared" si="10"/>
        <v>1.0690926901240962</v>
      </c>
      <c r="O23" s="55">
        <f t="shared" si="10"/>
        <v>1.1112297061869336</v>
      </c>
      <c r="P23" s="55">
        <f t="shared" si="10"/>
        <v>1.4255535422791303</v>
      </c>
      <c r="Q23" s="55">
        <f t="shared" si="10"/>
        <v>1.4739293401701732</v>
      </c>
      <c r="R23" s="56">
        <f t="shared" si="10"/>
        <v>1.2364517972906846</v>
      </c>
    </row>
    <row r="24" spans="1:18" ht="15.75" thickBot="1" x14ac:dyDescent="0.3"/>
    <row r="25" spans="1:18" ht="15.75" thickBot="1" x14ac:dyDescent="0.3">
      <c r="A25" s="134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5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5"/>
      <c r="B27" s="42" t="s">
        <v>35</v>
      </c>
      <c r="C27" s="43">
        <f t="shared" ref="C27:R27" si="12">C$8*(1-$C$25)</f>
        <v>0.17942869528734581</v>
      </c>
      <c r="D27" s="93">
        <f t="shared" si="12"/>
        <v>0.17942869528734581</v>
      </c>
      <c r="E27" s="44">
        <f t="shared" si="12"/>
        <v>0.18001892125868577</v>
      </c>
      <c r="F27" s="44">
        <f t="shared" si="12"/>
        <v>0.18474072902940539</v>
      </c>
      <c r="G27" s="44">
        <f t="shared" si="12"/>
        <v>0.18178959917270562</v>
      </c>
      <c r="H27" s="44">
        <f t="shared" si="12"/>
        <v>0.15345875254838784</v>
      </c>
      <c r="I27" s="44">
        <f t="shared" si="12"/>
        <v>0.21838360939578272</v>
      </c>
      <c r="J27" s="44">
        <f t="shared" si="12"/>
        <v>0.31577089466687497</v>
      </c>
      <c r="K27" s="44">
        <f t="shared" si="12"/>
        <v>0.32285360632295446</v>
      </c>
      <c r="L27" s="44">
        <f t="shared" si="12"/>
        <v>0.27740620652977804</v>
      </c>
      <c r="M27" s="44">
        <f t="shared" si="12"/>
        <v>0.3742032658295304</v>
      </c>
      <c r="N27" s="44">
        <f t="shared" si="12"/>
        <v>0.38010552554292998</v>
      </c>
      <c r="O27" s="44">
        <f t="shared" si="12"/>
        <v>0.37774462165757011</v>
      </c>
      <c r="P27" s="44">
        <f t="shared" si="12"/>
        <v>0.22782722493722199</v>
      </c>
      <c r="Q27" s="44">
        <f t="shared" si="12"/>
        <v>0.27740620652977804</v>
      </c>
      <c r="R27" s="45">
        <f t="shared" si="12"/>
        <v>0.53415450406265774</v>
      </c>
    </row>
    <row r="28" spans="1:18" x14ac:dyDescent="0.25">
      <c r="A28" s="135"/>
      <c r="B28" s="22" t="s">
        <v>17</v>
      </c>
      <c r="C28" s="50">
        <f t="shared" ref="C28:R28" si="13">C27-C$11</f>
        <v>-0.11793130471265414</v>
      </c>
      <c r="D28" s="94">
        <f t="shared" si="13"/>
        <v>-0.14271130471265417</v>
      </c>
      <c r="E28" s="51">
        <f t="shared" si="13"/>
        <v>-0.14212107874131422</v>
      </c>
      <c r="F28" s="51">
        <f t="shared" si="13"/>
        <v>-0.13739927097059459</v>
      </c>
      <c r="G28" s="51">
        <f t="shared" si="13"/>
        <v>-0.14035040082729436</v>
      </c>
      <c r="H28" s="51">
        <f t="shared" si="13"/>
        <v>-2.0001247451612136E-2</v>
      </c>
      <c r="I28" s="51">
        <f t="shared" si="13"/>
        <v>-2.9416390604217246E-2</v>
      </c>
      <c r="J28" s="51">
        <f t="shared" si="13"/>
        <v>-8.0709105333124975E-2</v>
      </c>
      <c r="K28" s="51">
        <f t="shared" si="13"/>
        <v>-2.4066393677045494E-2</v>
      </c>
      <c r="L28" s="51">
        <f t="shared" si="13"/>
        <v>-0.14385379347022192</v>
      </c>
      <c r="M28" s="51">
        <f t="shared" si="13"/>
        <v>-5.9446734170469639E-2</v>
      </c>
      <c r="N28" s="51">
        <f t="shared" si="13"/>
        <v>-9.0714474457069982E-2</v>
      </c>
      <c r="O28" s="51">
        <f t="shared" si="13"/>
        <v>-0.16741537834242987</v>
      </c>
      <c r="P28" s="51">
        <f t="shared" si="13"/>
        <v>-0.304942775062778</v>
      </c>
      <c r="Q28" s="51">
        <f t="shared" si="13"/>
        <v>-0.26775379347022193</v>
      </c>
      <c r="R28" s="52">
        <f t="shared" si="13"/>
        <v>-1.1005495937342236E-2</v>
      </c>
    </row>
    <row r="29" spans="1:18" x14ac:dyDescent="0.25">
      <c r="A29" s="135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36"/>
      <c r="B30" s="53" t="s">
        <v>16</v>
      </c>
      <c r="C30" s="54">
        <f>IFERROR(C28*365/C$13,"N/A")</f>
        <v>-8.6089852440237521E-2</v>
      </c>
      <c r="D30" s="96">
        <f t="shared" ref="D30:R30" si="15">IFERROR(D28*365/D$13,"N/A")</f>
        <v>-0.10417925244023754</v>
      </c>
      <c r="E30" s="55">
        <f t="shared" si="15"/>
        <v>-0.10374838748115939</v>
      </c>
      <c r="F30" s="55">
        <f t="shared" si="15"/>
        <v>-0.10030146780853405</v>
      </c>
      <c r="G30" s="55">
        <f t="shared" si="15"/>
        <v>-0.10245579260392487</v>
      </c>
      <c r="H30" s="55">
        <f t="shared" si="15"/>
        <v>-1.460091063967686E-2</v>
      </c>
      <c r="I30" s="55">
        <f t="shared" si="15"/>
        <v>-1.6518434723906607E-2</v>
      </c>
      <c r="J30" s="55">
        <f t="shared" si="15"/>
        <v>-3.2732026051767352E-2</v>
      </c>
      <c r="K30" s="55">
        <f t="shared" si="15"/>
        <v>-9.2465617811806362E-3</v>
      </c>
      <c r="L30" s="55">
        <f t="shared" si="15"/>
        <v>-6.5633293270788762E-2</v>
      </c>
      <c r="M30" s="55">
        <f t="shared" si="15"/>
        <v>-1.6690813824785707E-2</v>
      </c>
      <c r="N30" s="55">
        <f t="shared" si="15"/>
        <v>-1.9476931280488555E-2</v>
      </c>
      <c r="O30" s="55">
        <f t="shared" si="15"/>
        <v>-3.8191633184366809E-2</v>
      </c>
      <c r="P30" s="55">
        <f t="shared" si="15"/>
        <v>-0.15900587556844853</v>
      </c>
      <c r="Q30" s="55">
        <f t="shared" si="15"/>
        <v>-0.11497662896074236</v>
      </c>
      <c r="R30" s="56">
        <f t="shared" si="15"/>
        <v>-1.9128600081571025E-3</v>
      </c>
    </row>
    <row r="31" spans="1:18" ht="15.75" thickBot="1" x14ac:dyDescent="0.3"/>
    <row r="32" spans="1:18" ht="15.75" thickBot="1" x14ac:dyDescent="0.3">
      <c r="A32" s="134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5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5"/>
      <c r="B34" s="42" t="s">
        <v>35</v>
      </c>
      <c r="C34" s="43">
        <f t="shared" ref="C34:R34" si="17">C$8*(1-$C$32)</f>
        <v>1.0484688821007546</v>
      </c>
      <c r="D34" s="93">
        <f t="shared" si="17"/>
        <v>1.0484688821007546</v>
      </c>
      <c r="E34" s="44">
        <f t="shared" si="17"/>
        <v>1.0519177928971388</v>
      </c>
      <c r="F34" s="44">
        <f t="shared" si="17"/>
        <v>1.0795090792682112</v>
      </c>
      <c r="G34" s="44">
        <f t="shared" si="17"/>
        <v>1.062264525286291</v>
      </c>
      <c r="H34" s="44">
        <f t="shared" si="17"/>
        <v>0.89671680705985579</v>
      </c>
      <c r="I34" s="44">
        <f t="shared" si="17"/>
        <v>1.2760969946621028</v>
      </c>
      <c r="J34" s="44">
        <f t="shared" si="17"/>
        <v>1.8451672760654727</v>
      </c>
      <c r="K34" s="44">
        <f t="shared" si="17"/>
        <v>1.8865542056220816</v>
      </c>
      <c r="L34" s="44">
        <f t="shared" si="17"/>
        <v>1.620988074300509</v>
      </c>
      <c r="M34" s="44">
        <f t="shared" si="17"/>
        <v>2.1866094449074951</v>
      </c>
      <c r="N34" s="44">
        <f t="shared" si="17"/>
        <v>2.2210985528713358</v>
      </c>
      <c r="O34" s="44">
        <f t="shared" si="17"/>
        <v>2.207302909685799</v>
      </c>
      <c r="P34" s="44">
        <f t="shared" si="17"/>
        <v>1.3312795674042477</v>
      </c>
      <c r="Q34" s="44">
        <f t="shared" si="17"/>
        <v>1.620988074300509</v>
      </c>
      <c r="R34" s="45">
        <f t="shared" si="17"/>
        <v>3.1212642707275755</v>
      </c>
    </row>
    <row r="35" spans="1:18" x14ac:dyDescent="0.25">
      <c r="A35" s="135"/>
      <c r="B35" s="22" t="s">
        <v>17</v>
      </c>
      <c r="C35" s="50">
        <f>C34-C$11</f>
        <v>0.75110888210075466</v>
      </c>
      <c r="D35" s="94">
        <f>D34-D$11</f>
        <v>0.72632888210075464</v>
      </c>
      <c r="E35" s="51">
        <f>E34-E$11</f>
        <v>0.72977779289713884</v>
      </c>
      <c r="F35" s="51">
        <f t="shared" ref="F35:Q35" si="18">F34-F$11</f>
        <v>0.75736907926821118</v>
      </c>
      <c r="G35" s="51">
        <f t="shared" si="18"/>
        <v>0.74012452528629102</v>
      </c>
      <c r="H35" s="51">
        <f t="shared" si="18"/>
        <v>0.72325680705985584</v>
      </c>
      <c r="I35" s="51">
        <f t="shared" si="18"/>
        <v>1.0282969946621028</v>
      </c>
      <c r="J35" s="51">
        <f t="shared" si="18"/>
        <v>1.4486872760654728</v>
      </c>
      <c r="K35" s="51">
        <f t="shared" si="18"/>
        <v>1.5396342056220818</v>
      </c>
      <c r="L35" s="51">
        <f t="shared" si="18"/>
        <v>1.199728074300509</v>
      </c>
      <c r="M35" s="51">
        <f t="shared" si="18"/>
        <v>1.752959444907495</v>
      </c>
      <c r="N35" s="51">
        <f t="shared" si="18"/>
        <v>1.7502785528713358</v>
      </c>
      <c r="O35" s="51">
        <f t="shared" si="18"/>
        <v>1.6621429096857989</v>
      </c>
      <c r="P35" s="51">
        <f t="shared" si="18"/>
        <v>0.79850956740424772</v>
      </c>
      <c r="Q35" s="51">
        <f t="shared" si="18"/>
        <v>1.0758280743005089</v>
      </c>
      <c r="R35" s="52">
        <f>R34-R$11</f>
        <v>2.5761042707275754</v>
      </c>
    </row>
    <row r="36" spans="1:18" x14ac:dyDescent="0.25">
      <c r="A36" s="135"/>
      <c r="B36" s="46" t="s">
        <v>15</v>
      </c>
      <c r="C36" s="47">
        <f>IF(C35&gt;0,C$13/C35,"N/A")</f>
        <v>665.68244886355819</v>
      </c>
      <c r="D36" s="95">
        <f>IF(D35&gt;0,D$13/D35,"N/A")</f>
        <v>688.39338806664887</v>
      </c>
      <c r="E36" s="48">
        <f>IF(E35&gt;0,E$13/E35,"N/A")</f>
        <v>685.14005888704025</v>
      </c>
      <c r="F36" s="48">
        <f t="shared" ref="F36:Q36" si="19">IF(F35&gt;0,F$13/F35,"N/A")</f>
        <v>660.18010727756723</v>
      </c>
      <c r="G36" s="48">
        <f t="shared" si="19"/>
        <v>675.5619938504168</v>
      </c>
      <c r="H36" s="48">
        <f t="shared" si="19"/>
        <v>691.31737872274266</v>
      </c>
      <c r="I36" s="48">
        <f t="shared" si="19"/>
        <v>632.1130990114284</v>
      </c>
      <c r="J36" s="48">
        <f t="shared" si="19"/>
        <v>621.25209137222032</v>
      </c>
      <c r="K36" s="48">
        <f t="shared" si="19"/>
        <v>617.02967921276934</v>
      </c>
      <c r="L36" s="48">
        <f t="shared" si="19"/>
        <v>666.81777074061802</v>
      </c>
      <c r="M36" s="48">
        <f t="shared" si="19"/>
        <v>741.60300957139486</v>
      </c>
      <c r="N36" s="48">
        <f t="shared" si="19"/>
        <v>971.27397076947909</v>
      </c>
      <c r="O36" s="48">
        <f t="shared" si="19"/>
        <v>962.61277575852603</v>
      </c>
      <c r="P36" s="48">
        <f t="shared" si="19"/>
        <v>876.63320337603795</v>
      </c>
      <c r="Q36" s="48">
        <f t="shared" si="19"/>
        <v>790.08906748660593</v>
      </c>
      <c r="R36" s="49">
        <f>IF(R35&gt;0,R$13/R35,"N/A")</f>
        <v>815.18439446043533</v>
      </c>
    </row>
    <row r="37" spans="1:18" ht="15.75" thickBot="1" x14ac:dyDescent="0.3">
      <c r="A37" s="136"/>
      <c r="B37" s="53" t="s">
        <v>16</v>
      </c>
      <c r="C37" s="12">
        <f>IFERROR(C35*365/C$13,"N/A")</f>
        <v>0.54830948393355095</v>
      </c>
      <c r="D37" s="97">
        <f t="shared" ref="D37:R37" si="20">IFERROR(D35*365/D$13,"N/A")</f>
        <v>0.53022008393355091</v>
      </c>
      <c r="E37" s="13">
        <f t="shared" si="20"/>
        <v>0.53273778881491141</v>
      </c>
      <c r="F37" s="13">
        <f t="shared" si="20"/>
        <v>0.55287942786579414</v>
      </c>
      <c r="G37" s="13">
        <f t="shared" si="20"/>
        <v>0.54029090345899244</v>
      </c>
      <c r="H37" s="13">
        <f t="shared" si="20"/>
        <v>0.5279774691536947</v>
      </c>
      <c r="I37" s="13">
        <f t="shared" si="20"/>
        <v>0.57742831238718084</v>
      </c>
      <c r="J37" s="13">
        <f t="shared" si="20"/>
        <v>0.58752317307099722</v>
      </c>
      <c r="K37" s="13">
        <f t="shared" si="20"/>
        <v>0.59154366847585249</v>
      </c>
      <c r="L37" s="13">
        <f t="shared" si="20"/>
        <v>0.54737593389960726</v>
      </c>
      <c r="M37" s="13">
        <f t="shared" si="20"/>
        <v>0.49217707491633511</v>
      </c>
      <c r="N37" s="13">
        <f t="shared" si="20"/>
        <v>0.37579510105766917</v>
      </c>
      <c r="O37" s="13">
        <f t="shared" si="20"/>
        <v>0.37917635127207289</v>
      </c>
      <c r="P37" s="13">
        <f t="shared" si="20"/>
        <v>0.41636570300364345</v>
      </c>
      <c r="Q37" s="13">
        <f t="shared" si="20"/>
        <v>0.46197323190551259</v>
      </c>
      <c r="R37" s="14">
        <f t="shared" si="20"/>
        <v>0.44775145657884047</v>
      </c>
    </row>
    <row r="38" spans="1:18" x14ac:dyDescent="0.25"/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tabSelected="1" workbookViewId="0">
      <selection activeCell="E38" sqref="E38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8" t="s">
        <v>79</v>
      </c>
      <c r="B2" s="159"/>
      <c r="C2" s="160"/>
      <c r="E2" s="158" t="s">
        <v>80</v>
      </c>
      <c r="F2" s="160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6" x14ac:dyDescent="0.25">
      <c r="A17" s="118">
        <v>44367</v>
      </c>
      <c r="B17" s="121" t="s">
        <v>97</v>
      </c>
      <c r="C17" s="120">
        <v>50</v>
      </c>
      <c r="E17" s="118"/>
      <c r="F17" s="120"/>
    </row>
    <row r="18" spans="1:6" x14ac:dyDescent="0.25">
      <c r="A18" s="118">
        <v>44362</v>
      </c>
      <c r="B18" s="121" t="s">
        <v>98</v>
      </c>
      <c r="C18" s="120">
        <v>2.48</v>
      </c>
      <c r="E18" s="118"/>
      <c r="F18" s="120"/>
    </row>
    <row r="19" spans="1:6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6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6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6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6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6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6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6" x14ac:dyDescent="0.25">
      <c r="A26" s="118"/>
      <c r="B26" s="119"/>
      <c r="C26" s="120"/>
      <c r="D26" s="119"/>
      <c r="E26" s="118"/>
      <c r="F26" s="120"/>
    </row>
    <row r="27" spans="1:6" x14ac:dyDescent="0.25">
      <c r="A27" s="109"/>
    </row>
    <row r="28" spans="1:6" x14ac:dyDescent="0.25">
      <c r="A28" s="109"/>
      <c r="B28" s="6" t="s">
        <v>94</v>
      </c>
      <c r="C28" s="110">
        <f>SUM(C4:C27)</f>
        <v>5404.9499999999989</v>
      </c>
      <c r="E28" s="6" t="s">
        <v>94</v>
      </c>
      <c r="F28" s="110">
        <f>SUM(F4:F27)</f>
        <v>5246.01</v>
      </c>
    </row>
    <row r="29" spans="1:6" x14ac:dyDescent="0.25">
      <c r="A29" s="109"/>
    </row>
    <row r="30" spans="1:6" x14ac:dyDescent="0.25">
      <c r="A30" s="109"/>
      <c r="B30" s="6" t="s">
        <v>108</v>
      </c>
      <c r="C30" s="110">
        <f>C28-F28</f>
        <v>158.93999999999869</v>
      </c>
    </row>
    <row r="31" spans="1:6" x14ac:dyDescent="0.25"/>
    <row r="32" spans="1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2021-08-03T20:15:32Z</cp:lastPrinted>
  <dcterms:created xsi:type="dcterms:W3CDTF">2021-03-17T05:33:13Z</dcterms:created>
  <dcterms:modified xsi:type="dcterms:W3CDTF">2021-08-11T21:31:48Z</dcterms:modified>
</cp:coreProperties>
</file>