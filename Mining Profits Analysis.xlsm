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24A4CC74-FE07-474F-A9ED-E388588116F5}" xr6:coauthVersionLast="47" xr6:coauthVersionMax="47" xr10:uidLastSave="{00000000-0000-0000-0000-000000000000}"/>
  <bookViews>
    <workbookView xWindow="-120" yWindow="-120" windowWidth="38640" windowHeight="21240" xr2:uid="{66B3F881-5B90-4DB1-B63B-2D100C44C995}"/>
  </bookViews>
  <sheets>
    <sheet name="Raw Data" sheetId="6" r:id="rId1"/>
    <sheet name="Nvidia Analysis" sheetId="3" r:id="rId2"/>
    <sheet name="AMD Analysis" sheetId="7" r:id="rId3"/>
    <sheet name="Electricity Calculations" sheetId="1" r:id="rId4"/>
    <sheet name="ETH Price History" sheetId="5" state="hidden" r:id="rId5"/>
  </sheets>
  <definedNames>
    <definedName name="_xlnm._FilterDatabase" localSheetId="4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" i="3" l="1"/>
  <c r="L4" i="3"/>
  <c r="L5" i="3"/>
  <c r="H5" i="3"/>
  <c r="H4" i="3"/>
  <c r="D4" i="3"/>
  <c r="P4" i="7"/>
  <c r="L4" i="7"/>
  <c r="L5" i="7"/>
  <c r="H5" i="7"/>
  <c r="H4" i="7"/>
  <c r="D5" i="7"/>
  <c r="D4" i="7"/>
  <c r="D5" i="3"/>
  <c r="C8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R9" i="7"/>
  <c r="Q9" i="7"/>
  <c r="P9" i="7"/>
  <c r="O9" i="7"/>
  <c r="N9" i="7"/>
  <c r="M9" i="7"/>
  <c r="L9" i="7"/>
  <c r="K9" i="7"/>
  <c r="K14" i="7" s="1"/>
  <c r="J9" i="7"/>
  <c r="I9" i="7"/>
  <c r="H9" i="7"/>
  <c r="G9" i="7"/>
  <c r="F9" i="7"/>
  <c r="E9" i="7"/>
  <c r="D9" i="7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R14" i="7"/>
  <c r="P14" i="7"/>
  <c r="J14" i="7"/>
  <c r="F14" i="7"/>
  <c r="D14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H14" i="7" l="1"/>
  <c r="I14" i="7"/>
  <c r="R14" i="3"/>
  <c r="C11" i="7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I8" i="7"/>
  <c r="M8" i="7"/>
  <c r="L8" i="7"/>
  <c r="D8" i="7"/>
  <c r="K8" i="7"/>
  <c r="J8" i="7"/>
  <c r="F8" i="7"/>
  <c r="G8" i="7"/>
  <c r="R8" i="7"/>
  <c r="O8" i="7"/>
  <c r="H8" i="7"/>
  <c r="P8" i="7"/>
  <c r="Q8" i="7"/>
  <c r="E8" i="7"/>
  <c r="G11" i="7"/>
  <c r="D14" i="3"/>
  <c r="D8" i="3"/>
  <c r="O14" i="3"/>
  <c r="P14" i="3"/>
  <c r="Q14" i="3"/>
  <c r="E14" i="3"/>
  <c r="N14" i="3"/>
  <c r="F14" i="3"/>
  <c r="M14" i="3"/>
  <c r="J14" i="3"/>
  <c r="R8" i="3"/>
  <c r="K14" i="3"/>
  <c r="L14" i="3"/>
  <c r="G14" i="3"/>
  <c r="H14" i="3"/>
  <c r="I14" i="3"/>
  <c r="C14" i="3"/>
  <c r="F3" i="1"/>
  <c r="C21" i="3"/>
  <c r="G8" i="3"/>
  <c r="H8" i="3"/>
  <c r="H31" i="3" s="1"/>
  <c r="I8" i="3"/>
  <c r="I39" i="3" s="1"/>
  <c r="J8" i="3"/>
  <c r="J23" i="3" s="1"/>
  <c r="K8" i="3"/>
  <c r="K31" i="3" s="1"/>
  <c r="L8" i="3"/>
  <c r="L39" i="3" s="1"/>
  <c r="M8" i="3"/>
  <c r="M23" i="3" s="1"/>
  <c r="N8" i="3"/>
  <c r="O8" i="3"/>
  <c r="O39" i="3" s="1"/>
  <c r="C8" i="3"/>
  <c r="P8" i="3"/>
  <c r="E8" i="3"/>
  <c r="Q8" i="3"/>
  <c r="F8" i="3"/>
  <c r="F23" i="3" s="1"/>
  <c r="F5" i="1"/>
  <c r="Q11" i="3" s="1"/>
  <c r="R23" i="3" l="1"/>
  <c r="Q23" i="3"/>
  <c r="E23" i="3"/>
  <c r="D12" i="3"/>
  <c r="D16" i="3" s="1"/>
  <c r="D23" i="3"/>
  <c r="D24" i="3" s="1"/>
  <c r="D26" i="3" s="1"/>
  <c r="D39" i="3"/>
  <c r="D40" i="3" s="1"/>
  <c r="D42" i="3" s="1"/>
  <c r="D31" i="3"/>
  <c r="D32" i="3" s="1"/>
  <c r="D34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O12" i="7"/>
  <c r="O16" i="7" s="1"/>
  <c r="O34" i="7"/>
  <c r="O35" i="7" s="1"/>
  <c r="O37" i="7" s="1"/>
  <c r="O27" i="7"/>
  <c r="O28" i="7" s="1"/>
  <c r="O30" i="7" s="1"/>
  <c r="O20" i="7"/>
  <c r="O21" i="7" s="1"/>
  <c r="O23" i="7" s="1"/>
  <c r="E34" i="7"/>
  <c r="E35" i="7" s="1"/>
  <c r="E37" i="7" s="1"/>
  <c r="E20" i="7"/>
  <c r="E21" i="7" s="1"/>
  <c r="E23" i="7" s="1"/>
  <c r="E12" i="7"/>
  <c r="E16" i="7" s="1"/>
  <c r="E27" i="7"/>
  <c r="E28" i="7" s="1"/>
  <c r="E30" i="7" s="1"/>
  <c r="H20" i="7"/>
  <c r="H21" i="7" s="1"/>
  <c r="H23" i="7" s="1"/>
  <c r="H12" i="7"/>
  <c r="H16" i="7" s="1"/>
  <c r="H34" i="7"/>
  <c r="H35" i="7" s="1"/>
  <c r="H37" i="7" s="1"/>
  <c r="H27" i="7"/>
  <c r="H28" i="7" s="1"/>
  <c r="H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P34" i="7"/>
  <c r="P35" i="7" s="1"/>
  <c r="P37" i="7" s="1"/>
  <c r="P20" i="7"/>
  <c r="P21" i="7" s="1"/>
  <c r="P23" i="7" s="1"/>
  <c r="P12" i="7"/>
  <c r="P16" i="7" s="1"/>
  <c r="P27" i="7"/>
  <c r="P28" i="7" s="1"/>
  <c r="P30" i="7" s="1"/>
  <c r="F34" i="7"/>
  <c r="F35" i="7" s="1"/>
  <c r="F37" i="7" s="1"/>
  <c r="F27" i="7"/>
  <c r="F28" i="7" s="1"/>
  <c r="F30" i="7" s="1"/>
  <c r="F20" i="7"/>
  <c r="F21" i="7" s="1"/>
  <c r="F23" i="7" s="1"/>
  <c r="F12" i="7"/>
  <c r="F16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0" i="7"/>
  <c r="I21" i="7" s="1"/>
  <c r="I23" i="7" s="1"/>
  <c r="I12" i="7"/>
  <c r="I16" i="7" s="1"/>
  <c r="I27" i="7"/>
  <c r="I28" i="7" s="1"/>
  <c r="I30" i="7" s="1"/>
  <c r="I34" i="7"/>
  <c r="I35" i="7" s="1"/>
  <c r="I37" i="7" s="1"/>
  <c r="J20" i="7"/>
  <c r="J21" i="7" s="1"/>
  <c r="J23" i="7" s="1"/>
  <c r="J12" i="7"/>
  <c r="J16" i="7" s="1"/>
  <c r="J27" i="7"/>
  <c r="J28" i="7" s="1"/>
  <c r="J30" i="7" s="1"/>
  <c r="J34" i="7"/>
  <c r="J35" i="7" s="1"/>
  <c r="J37" i="7" s="1"/>
  <c r="M27" i="7"/>
  <c r="M28" i="7" s="1"/>
  <c r="M30" i="7" s="1"/>
  <c r="M34" i="7"/>
  <c r="M35" i="7" s="1"/>
  <c r="M37" i="7" s="1"/>
  <c r="M20" i="7"/>
  <c r="M21" i="7" s="1"/>
  <c r="M23" i="7" s="1"/>
  <c r="M12" i="7"/>
  <c r="M16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D15" i="3"/>
  <c r="C23" i="3"/>
  <c r="N23" i="3"/>
  <c r="R39" i="3"/>
  <c r="R31" i="3"/>
  <c r="P23" i="3"/>
  <c r="P11" i="3"/>
  <c r="H11" i="3"/>
  <c r="H12" i="3" s="1"/>
  <c r="H16" i="3" s="1"/>
  <c r="K11" i="3"/>
  <c r="K12" i="3" s="1"/>
  <c r="K16" i="3" s="1"/>
  <c r="N11" i="3"/>
  <c r="J11" i="3"/>
  <c r="J12" i="3" s="1"/>
  <c r="J16" i="3" s="1"/>
  <c r="M11" i="3"/>
  <c r="M24" i="3" s="1"/>
  <c r="E11" i="3"/>
  <c r="C11" i="3"/>
  <c r="O11" i="3"/>
  <c r="I11" i="3"/>
  <c r="I40" i="3" s="1"/>
  <c r="I42" i="3" s="1"/>
  <c r="G11" i="3"/>
  <c r="G12" i="3" s="1"/>
  <c r="G16" i="3" s="1"/>
  <c r="R11" i="3"/>
  <c r="F11" i="3"/>
  <c r="F24" i="3" s="1"/>
  <c r="L11" i="3"/>
  <c r="L12" i="3" s="1"/>
  <c r="L16" i="3" s="1"/>
  <c r="J31" i="3"/>
  <c r="G23" i="3"/>
  <c r="L23" i="3"/>
  <c r="N31" i="3"/>
  <c r="N32" i="3" s="1"/>
  <c r="L31" i="3"/>
  <c r="G39" i="3"/>
  <c r="G31" i="3"/>
  <c r="I31" i="3"/>
  <c r="N39" i="3"/>
  <c r="E31" i="3"/>
  <c r="E39" i="3"/>
  <c r="P39" i="3"/>
  <c r="C31" i="3"/>
  <c r="C39" i="3"/>
  <c r="Q31" i="3"/>
  <c r="P31" i="3"/>
  <c r="O31" i="3"/>
  <c r="H23" i="3"/>
  <c r="O23" i="3"/>
  <c r="Q39" i="3"/>
  <c r="J39" i="3"/>
  <c r="M31" i="3"/>
  <c r="K39" i="3"/>
  <c r="F39" i="3"/>
  <c r="M39" i="3"/>
  <c r="K23" i="3"/>
  <c r="I23" i="3"/>
  <c r="F31" i="3"/>
  <c r="H39" i="3"/>
  <c r="F25" i="3" l="1"/>
  <c r="F26" i="3"/>
  <c r="N33" i="3"/>
  <c r="N34" i="3"/>
  <c r="M25" i="3"/>
  <c r="M26" i="3"/>
  <c r="D33" i="3"/>
  <c r="D41" i="3"/>
  <c r="D25" i="3"/>
  <c r="F22" i="7"/>
  <c r="C36" i="7"/>
  <c r="O29" i="7"/>
  <c r="J15" i="7"/>
  <c r="R36" i="7"/>
  <c r="H29" i="7"/>
  <c r="I29" i="7"/>
  <c r="H36" i="7"/>
  <c r="Q15" i="7"/>
  <c r="R29" i="7"/>
  <c r="C15" i="7"/>
  <c r="O36" i="7"/>
  <c r="I36" i="7"/>
  <c r="N36" i="7"/>
  <c r="P15" i="7"/>
  <c r="N15" i="7"/>
  <c r="I15" i="7"/>
  <c r="P22" i="7"/>
  <c r="H15" i="7"/>
  <c r="Q22" i="7"/>
  <c r="F15" i="7"/>
  <c r="O15" i="7"/>
  <c r="P36" i="7"/>
  <c r="H22" i="7"/>
  <c r="Q36" i="7"/>
  <c r="O22" i="7"/>
  <c r="F29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P29" i="7"/>
  <c r="N29" i="7"/>
  <c r="M15" i="7"/>
  <c r="E29" i="7"/>
  <c r="K36" i="7"/>
  <c r="M36" i="7"/>
  <c r="D29" i="7"/>
  <c r="G15" i="7"/>
  <c r="E22" i="7"/>
  <c r="L22" i="7"/>
  <c r="J36" i="7"/>
  <c r="J29" i="7"/>
  <c r="C22" i="7"/>
  <c r="N22" i="7"/>
  <c r="I22" i="7"/>
  <c r="D15" i="7"/>
  <c r="L36" i="7"/>
  <c r="K15" i="7"/>
  <c r="M29" i="7"/>
  <c r="D36" i="7"/>
  <c r="G22" i="7"/>
  <c r="E36" i="7"/>
  <c r="L29" i="7"/>
  <c r="R40" i="3"/>
  <c r="R42" i="3" s="1"/>
  <c r="G32" i="3"/>
  <c r="G40" i="3"/>
  <c r="G42" i="3" s="1"/>
  <c r="G15" i="3"/>
  <c r="R12" i="3"/>
  <c r="R16" i="3" s="1"/>
  <c r="G24" i="3"/>
  <c r="G26" i="3" s="1"/>
  <c r="R24" i="3"/>
  <c r="R26" i="3" s="1"/>
  <c r="R32" i="3"/>
  <c r="R34" i="3" s="1"/>
  <c r="E32" i="3"/>
  <c r="E34" i="3" s="1"/>
  <c r="C32" i="3"/>
  <c r="C34" i="3" s="1"/>
  <c r="P32" i="3"/>
  <c r="P34" i="3" s="1"/>
  <c r="Q32" i="3"/>
  <c r="M40" i="3"/>
  <c r="M42" i="3" s="1"/>
  <c r="Q40" i="3"/>
  <c r="Q42" i="3" s="1"/>
  <c r="O24" i="3"/>
  <c r="Q24" i="3"/>
  <c r="H15" i="3"/>
  <c r="Q12" i="3"/>
  <c r="Q16" i="3" s="1"/>
  <c r="P40" i="3"/>
  <c r="I24" i="3"/>
  <c r="P24" i="3"/>
  <c r="N40" i="3"/>
  <c r="P12" i="3"/>
  <c r="P16" i="3" s="1"/>
  <c r="N24" i="3"/>
  <c r="N12" i="3"/>
  <c r="N16" i="3" s="1"/>
  <c r="J15" i="3"/>
  <c r="J24" i="3"/>
  <c r="I32" i="3"/>
  <c r="I34" i="3" s="1"/>
  <c r="M32" i="3"/>
  <c r="M34" i="3" s="1"/>
  <c r="O40" i="3"/>
  <c r="O42" i="3" s="1"/>
  <c r="H32" i="3"/>
  <c r="H34" i="3" s="1"/>
  <c r="I12" i="3"/>
  <c r="M12" i="3"/>
  <c r="R41" i="3"/>
  <c r="J32" i="3"/>
  <c r="J34" i="3" s="1"/>
  <c r="K15" i="3"/>
  <c r="H40" i="3"/>
  <c r="H42" i="3" s="1"/>
  <c r="F32" i="3"/>
  <c r="F34" i="3" s="1"/>
  <c r="F40" i="3"/>
  <c r="F42" i="3" s="1"/>
  <c r="L32" i="3"/>
  <c r="L24" i="3"/>
  <c r="K40" i="3"/>
  <c r="K42" i="3" s="1"/>
  <c r="O32" i="3"/>
  <c r="O34" i="3" s="1"/>
  <c r="H24" i="3"/>
  <c r="L40" i="3"/>
  <c r="E40" i="3"/>
  <c r="E42" i="3" s="1"/>
  <c r="F12" i="3"/>
  <c r="O12" i="3"/>
  <c r="O16" i="3" s="1"/>
  <c r="K32" i="3"/>
  <c r="J40" i="3"/>
  <c r="C12" i="3"/>
  <c r="C16" i="3" s="1"/>
  <c r="C24" i="3"/>
  <c r="C26" i="3" s="1"/>
  <c r="C40" i="3"/>
  <c r="C42" i="3" s="1"/>
  <c r="K24" i="3"/>
  <c r="L15" i="3"/>
  <c r="E12" i="3"/>
  <c r="E16" i="3" s="1"/>
  <c r="E24" i="3"/>
  <c r="E26" i="3" s="1"/>
  <c r="I41" i="3"/>
  <c r="G25" i="3" l="1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sharedStrings.xml><?xml version="1.0" encoding="utf-8"?>
<sst xmlns="http://schemas.openxmlformats.org/spreadsheetml/2006/main" count="2255" uniqueCount="81">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</sst>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168" fontId="0" fillId="5" borderId="34" xfId="0" applyNumberFormat="1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2" fontId="0" fillId="5" borderId="34" xfId="0" applyNumberFormat="1" applyFill="1" applyBorder="1" applyAlignment="1">
      <alignment horizontal="center"/>
    </xf>
    <xf numFmtId="2" fontId="0" fillId="0" borderId="34" xfId="0" applyNumberFormat="1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1" fontId="0" fillId="0" borderId="34" xfId="0" applyNumberFormat="1" applyFill="1" applyBorder="1" applyAlignment="1">
      <alignment horizontal="center"/>
    </xf>
    <xf numFmtId="1" fontId="0" fillId="5" borderId="34" xfId="0" applyNumberFormat="1" applyFill="1" applyBorder="1" applyAlignment="1">
      <alignment horizontal="center"/>
    </xf>
    <xf numFmtId="9" fontId="0" fillId="0" borderId="35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3" xfId="0" applyNumberFormat="1" applyFill="1" applyBorder="1" applyAlignment="1">
      <alignment horizontal="center" vertical="center"/>
    </xf>
    <xf numFmtId="2" fontId="0" fillId="5" borderId="34" xfId="0" applyNumberFormat="1" applyFill="1" applyBorder="1" applyAlignment="1">
      <alignment horizontal="center" vertical="center"/>
    </xf>
    <xf numFmtId="1" fontId="0" fillId="0" borderId="34" xfId="0" applyNumberForma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167" fontId="0" fillId="0" borderId="37" xfId="0" applyNumberFormat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5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Q18"/>
  <sheetViews>
    <sheetView tabSelected="1" workbookViewId="0">
      <selection activeCell="J19" sqref="J19"/>
    </sheetView>
  </sheetViews>
  <sheetFormatPr defaultRowHeight="15" x14ac:dyDescent="0.25"/>
  <cols>
    <col min="1" max="1" width="17.42578125" bestFit="1" customWidth="1"/>
    <col min="2" max="16" width="7.85546875" customWidth="1"/>
  </cols>
  <sheetData>
    <row r="1" spans="1:17" s="6" customFormat="1" x14ac:dyDescent="0.25"/>
    <row r="2" spans="1:17" s="6" customFormat="1" x14ac:dyDescent="0.25">
      <c r="A2" s="81" t="s">
        <v>63</v>
      </c>
      <c r="B2" s="109">
        <v>44373</v>
      </c>
      <c r="C2" s="110"/>
    </row>
    <row r="3" spans="1:17" ht="15.75" thickBot="1" x14ac:dyDescent="0.3">
      <c r="D3" s="1"/>
      <c r="H3" s="1"/>
    </row>
    <row r="4" spans="1:17" ht="15.75" thickBot="1" x14ac:dyDescent="0.3">
      <c r="A4" s="115" t="s">
        <v>47</v>
      </c>
      <c r="B4" s="116"/>
      <c r="C4" s="58">
        <v>477.5</v>
      </c>
      <c r="D4" s="1"/>
      <c r="H4" s="1"/>
    </row>
    <row r="5" spans="1:17" ht="15.75" thickBot="1" x14ac:dyDescent="0.3">
      <c r="A5" s="111" t="s">
        <v>51</v>
      </c>
      <c r="B5" s="112"/>
      <c r="C5" s="57">
        <v>2311.91</v>
      </c>
    </row>
    <row r="6" spans="1:17" s="6" customFormat="1" ht="15.75" thickBot="1" x14ac:dyDescent="0.3">
      <c r="A6" s="111" t="s">
        <v>58</v>
      </c>
      <c r="B6" s="112"/>
      <c r="C6" s="57">
        <v>13413.3</v>
      </c>
    </row>
    <row r="7" spans="1:17" s="6" customFormat="1" ht="15.75" thickBot="1" x14ac:dyDescent="0.3">
      <c r="A7" s="113" t="s">
        <v>40</v>
      </c>
      <c r="B7" s="114"/>
      <c r="C7" s="58">
        <v>13.23</v>
      </c>
    </row>
    <row r="8" spans="1:17" s="6" customFormat="1" ht="15.75" thickBot="1" x14ac:dyDescent="0.3"/>
    <row r="9" spans="1:17" ht="16.5" thickBot="1" x14ac:dyDescent="0.3">
      <c r="A9" s="99" t="s">
        <v>65</v>
      </c>
      <c r="B9" s="100">
        <v>1070</v>
      </c>
      <c r="C9" s="100" t="s">
        <v>76</v>
      </c>
      <c r="D9" s="100">
        <v>1080</v>
      </c>
      <c r="E9" s="100" t="s">
        <v>11</v>
      </c>
      <c r="F9" s="100" t="s">
        <v>46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62</v>
      </c>
      <c r="N9" s="100" t="s">
        <v>12</v>
      </c>
      <c r="O9" s="100">
        <v>3070</v>
      </c>
      <c r="P9" s="100">
        <v>3080</v>
      </c>
      <c r="Q9" s="101">
        <v>3090</v>
      </c>
    </row>
    <row r="10" spans="1:17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60.5</v>
      </c>
      <c r="O10" s="106">
        <v>60.56</v>
      </c>
      <c r="P10" s="106">
        <v>96</v>
      </c>
      <c r="Q10" s="107">
        <v>120</v>
      </c>
    </row>
    <row r="11" spans="1:17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220</v>
      </c>
      <c r="Q11" s="63">
        <v>285</v>
      </c>
    </row>
    <row r="12" spans="1:17" ht="16.5" thickBot="1" x14ac:dyDescent="0.3">
      <c r="A12" s="103" t="s">
        <v>64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>
        <v>1200</v>
      </c>
      <c r="O12" s="104">
        <v>1300</v>
      </c>
      <c r="P12" s="104">
        <v>1850</v>
      </c>
      <c r="Q12" s="65">
        <v>2777</v>
      </c>
    </row>
    <row r="14" spans="1:17" ht="15.75" thickBot="1" x14ac:dyDescent="0.3"/>
    <row r="15" spans="1:17" ht="16.5" thickBot="1" x14ac:dyDescent="0.3">
      <c r="A15" s="99" t="s">
        <v>66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73</v>
      </c>
      <c r="H15" s="100" t="s">
        <v>72</v>
      </c>
      <c r="I15" s="100">
        <v>5700</v>
      </c>
      <c r="J15" s="100" t="s">
        <v>67</v>
      </c>
      <c r="K15" s="100" t="s">
        <v>69</v>
      </c>
      <c r="L15" s="100">
        <v>6800</v>
      </c>
      <c r="M15" s="100" t="s">
        <v>70</v>
      </c>
      <c r="N15" s="100" t="s">
        <v>74</v>
      </c>
      <c r="O15" s="100" t="s">
        <v>75</v>
      </c>
      <c r="P15" s="100" t="s">
        <v>71</v>
      </c>
      <c r="Q15" s="101" t="s">
        <v>68</v>
      </c>
    </row>
    <row r="16" spans="1:17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</row>
    <row r="17" spans="1:17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</row>
    <row r="18" spans="1:17" ht="16.5" thickBot="1" x14ac:dyDescent="0.3">
      <c r="A18" s="103" t="s">
        <v>64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1000</v>
      </c>
      <c r="L18" s="104">
        <v>1300</v>
      </c>
      <c r="M18" s="104">
        <v>1700</v>
      </c>
      <c r="N18" s="104">
        <v>2200</v>
      </c>
      <c r="O18" s="104">
        <v>700</v>
      </c>
      <c r="P18" s="104">
        <v>850</v>
      </c>
      <c r="Q18" s="65">
        <v>2100</v>
      </c>
    </row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3"/>
  <sheetViews>
    <sheetView zoomScaleNormal="100" zoomScaleSheetLayoutView="115" workbookViewId="0">
      <selection activeCell="A2" sqref="A2:B2"/>
    </sheetView>
  </sheetViews>
  <sheetFormatPr defaultRowHeight="15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22" max="22" width="10" bestFit="1" customWidth="1"/>
  </cols>
  <sheetData>
    <row r="1" spans="1:30" s="6" customFormat="1" ht="31.5" x14ac:dyDescent="0.25">
      <c r="A1" s="117" t="s">
        <v>80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</row>
    <row r="2" spans="1:30" s="6" customFormat="1" x14ac:dyDescent="0.25">
      <c r="A2" s="135" t="s">
        <v>45</v>
      </c>
      <c r="B2" s="136"/>
      <c r="C2" s="109">
        <f>'Raw Data'!$B$2</f>
        <v>44373</v>
      </c>
      <c r="D2" s="110"/>
      <c r="E2"/>
      <c r="O2" s="134" t="s">
        <v>50</v>
      </c>
      <c r="P2" s="134"/>
      <c r="Q2" s="134"/>
      <c r="R2" s="134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21" t="s">
        <v>32</v>
      </c>
      <c r="B4" s="130" t="s">
        <v>57</v>
      </c>
      <c r="C4" s="131"/>
      <c r="D4" s="59">
        <f>'Electricity Calculations'!$F$5</f>
        <v>10.324999999999999</v>
      </c>
      <c r="E4" s="1"/>
      <c r="F4" s="130" t="s">
        <v>51</v>
      </c>
      <c r="G4" s="131"/>
      <c r="H4" s="57">
        <f>'Raw Data'!$C$5</f>
        <v>2311.91</v>
      </c>
      <c r="I4" s="1"/>
      <c r="J4" s="130" t="s">
        <v>40</v>
      </c>
      <c r="K4" s="131"/>
      <c r="L4" s="58">
        <f>'Raw Data'!$C$7</f>
        <v>13.23</v>
      </c>
      <c r="N4" s="115" t="s">
        <v>49</v>
      </c>
      <c r="O4" s="116"/>
      <c r="P4" s="132">
        <f>24*3600/$L$4*$L$5*$H$4/$D$5/10000</f>
        <v>6.4943125451308896</v>
      </c>
    </row>
    <row r="5" spans="1:30" s="6" customFormat="1" ht="15.75" thickBot="1" x14ac:dyDescent="0.3">
      <c r="A5" s="122"/>
      <c r="B5" s="130" t="s">
        <v>47</v>
      </c>
      <c r="C5" s="131"/>
      <c r="D5" s="58">
        <f>'Raw Data'!$C$4</f>
        <v>477.5</v>
      </c>
      <c r="E5" s="1"/>
      <c r="F5" s="130" t="s">
        <v>58</v>
      </c>
      <c r="G5" s="131"/>
      <c r="H5" s="57">
        <f>'Raw Data'!$C$6</f>
        <v>13413.3</v>
      </c>
      <c r="I5" s="1"/>
      <c r="J5" s="130" t="s">
        <v>39</v>
      </c>
      <c r="K5" s="131"/>
      <c r="L5" s="59">
        <f>$H$5/(24*3600/$L$4)</f>
        <v>2.0539115625000002</v>
      </c>
      <c r="N5" s="137"/>
      <c r="O5" s="138"/>
      <c r="P5" s="133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22"/>
      <c r="V6"/>
      <c r="W6"/>
      <c r="X6"/>
      <c r="Y6"/>
      <c r="Z6"/>
      <c r="AA6"/>
      <c r="AB6"/>
      <c r="AC6"/>
      <c r="AD6"/>
    </row>
    <row r="7" spans="1:30" ht="15.75" thickBot="1" x14ac:dyDescent="0.3">
      <c r="A7" s="122"/>
      <c r="B7" s="7" t="s">
        <v>0</v>
      </c>
      <c r="C7" s="9">
        <v>1070</v>
      </c>
      <c r="D7" s="82" t="s">
        <v>76</v>
      </c>
      <c r="E7" s="10">
        <v>1080</v>
      </c>
      <c r="F7" s="10" t="s">
        <v>11</v>
      </c>
      <c r="G7" s="10" t="s">
        <v>46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62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22"/>
      <c r="B8" s="26" t="s">
        <v>52</v>
      </c>
      <c r="C8" s="61">
        <f t="shared" ref="C8:R8" si="0">$P$4*C9/100</f>
        <v>1.9482937635392668</v>
      </c>
      <c r="D8" s="83">
        <f t="shared" si="0"/>
        <v>2.0716857018967536</v>
      </c>
      <c r="E8" s="27">
        <f t="shared" si="0"/>
        <v>2.3379525162471202</v>
      </c>
      <c r="F8" s="27">
        <f t="shared" si="0"/>
        <v>2.9873837707602093</v>
      </c>
      <c r="G8" s="27">
        <f t="shared" si="0"/>
        <v>1.9482937635392668</v>
      </c>
      <c r="H8" s="27">
        <f t="shared" si="0"/>
        <v>2.0781800144418847</v>
      </c>
      <c r="I8" s="27">
        <f t="shared" si="0"/>
        <v>2.7438470503178007</v>
      </c>
      <c r="J8" s="27">
        <f t="shared" si="0"/>
        <v>2.8574975198575912</v>
      </c>
      <c r="K8" s="27">
        <f t="shared" si="0"/>
        <v>2.7925543944062827</v>
      </c>
      <c r="L8" s="27">
        <f t="shared" si="0"/>
        <v>2.7925543944062827</v>
      </c>
      <c r="M8" s="27">
        <f t="shared" si="0"/>
        <v>2.7405998940452356</v>
      </c>
      <c r="N8" s="27">
        <f t="shared" si="0"/>
        <v>3.8446330267174869</v>
      </c>
      <c r="O8" s="27">
        <f t="shared" si="0"/>
        <v>3.9290590898041882</v>
      </c>
      <c r="P8" s="27">
        <f t="shared" si="0"/>
        <v>3.9329556773312668</v>
      </c>
      <c r="Q8" s="27">
        <f t="shared" si="0"/>
        <v>6.2345400433256541</v>
      </c>
      <c r="R8" s="28">
        <f t="shared" si="0"/>
        <v>7.793175054157067</v>
      </c>
    </row>
    <row r="9" spans="1:30" x14ac:dyDescent="0.25">
      <c r="A9" s="122"/>
      <c r="B9" s="15" t="s">
        <v>10</v>
      </c>
      <c r="C9" s="78">
        <f>INDEX('Raw Data'!$10:$10,MATCH('Nvidia Analysis'!C$7,'Raw Data'!$9:$9,0))</f>
        <v>30</v>
      </c>
      <c r="D9" s="84">
        <f>INDEX('Raw Data'!$10:$10,MATCH('Nvidia Analysis'!D$7,'Raw Data'!$9:$9,0))</f>
        <v>31.9</v>
      </c>
      <c r="E9" s="79">
        <f>INDEX('Raw Data'!$10:$10,MATCH('Nvidia Analysis'!E$7,'Raw Data'!$9:$9,0))</f>
        <v>36</v>
      </c>
      <c r="F9" s="79">
        <f>INDEX('Raw Data'!$10:$10,MATCH('Nvidia Analysis'!F$7,'Raw Data'!$9:$9,0))</f>
        <v>46</v>
      </c>
      <c r="G9" s="79">
        <f>INDEX('Raw Data'!$10:$10,MATCH('Nvidia Analysis'!G$7,'Raw Data'!$9:$9,0))</f>
        <v>30</v>
      </c>
      <c r="H9" s="79">
        <f>INDEX('Raw Data'!$10:$10,MATCH('Nvidia Analysis'!H$7,'Raw Data'!$9:$9,0))</f>
        <v>32</v>
      </c>
      <c r="I9" s="79">
        <f>INDEX('Raw Data'!$10:$10,MATCH('Nvidia Analysis'!I$7,'Raw Data'!$9:$9,0))</f>
        <v>42.25</v>
      </c>
      <c r="J9" s="79">
        <f>INDEX('Raw Data'!$10:$10,MATCH('Nvidia Analysis'!J$7,'Raw Data'!$9:$9,0))</f>
        <v>44</v>
      </c>
      <c r="K9" s="79">
        <f>INDEX('Raw Data'!$10:$10,MATCH('Nvidia Analysis'!K$7,'Raw Data'!$9:$9,0))</f>
        <v>43</v>
      </c>
      <c r="L9" s="79">
        <f>INDEX('Raw Data'!$10:$10,MATCH('Nvidia Analysis'!L$7,'Raw Data'!$9:$9,0))</f>
        <v>43</v>
      </c>
      <c r="M9" s="79">
        <f>INDEX('Raw Data'!$10:$10,MATCH('Nvidia Analysis'!M$7,'Raw Data'!$9:$9,0))</f>
        <v>42.2</v>
      </c>
      <c r="N9" s="79">
        <f>INDEX('Raw Data'!$10:$10,MATCH('Nvidia Analysis'!N$7,'Raw Data'!$9:$9,0))</f>
        <v>59.2</v>
      </c>
      <c r="O9" s="79">
        <f>INDEX('Raw Data'!$10:$10,MATCH('Nvidia Analysis'!O$7,'Raw Data'!$9:$9,0))</f>
        <v>60.5</v>
      </c>
      <c r="P9" s="79">
        <f>INDEX('Raw Data'!$10:$10,MATCH('Nvidia Analysis'!P$7,'Raw Data'!$9:$9,0))</f>
        <v>60.56</v>
      </c>
      <c r="Q9" s="79">
        <f>INDEX('Raw Data'!$10:$10,MATCH('Nvidia Analysis'!Q$7,'Raw Data'!$9:$9,0))</f>
        <v>96</v>
      </c>
      <c r="R9" s="80">
        <f>INDEX('Raw Data'!$10:$10,MATCH('Nvidia Analysis'!R$7,'Raw Data'!$9:$9,0))</f>
        <v>120</v>
      </c>
      <c r="T9" s="2"/>
    </row>
    <row r="10" spans="1:30" x14ac:dyDescent="0.25">
      <c r="A10" s="122"/>
      <c r="B10" s="29" t="s">
        <v>36</v>
      </c>
      <c r="C10" s="30">
        <f>INDEX('Raw Data'!$11:$11,MATCH('Nvidia Analysis'!C$7,'Raw Data'!$9:$9,0))</f>
        <v>120</v>
      </c>
      <c r="D10" s="85">
        <f>INDEX('Raw Data'!$11:$11,MATCH('Nvidia Analysis'!D$7,'Raw Data'!$9:$9,0))</f>
        <v>135</v>
      </c>
      <c r="E10" s="31">
        <f>INDEX('Raw Data'!$11:$11,MATCH('Nvidia Analysis'!E$7,'Raw Data'!$9:$9,0))</f>
        <v>135</v>
      </c>
      <c r="F10" s="31">
        <f>INDEX('Raw Data'!$11:$11,MATCH('Nvidia Analysis'!F$7,'Raw Data'!$9:$9,0))</f>
        <v>240</v>
      </c>
      <c r="G10" s="31">
        <f>INDEX('Raw Data'!$11:$11,MATCH('Nvidia Analysis'!G$7,'Raw Data'!$9:$9,0))</f>
        <v>90</v>
      </c>
      <c r="H10" s="31">
        <f>INDEX('Raw Data'!$11:$11,MATCH('Nvidia Analysis'!H$7,'Raw Data'!$9:$9,0))</f>
        <v>90</v>
      </c>
      <c r="I10" s="31">
        <f>INDEX('Raw Data'!$11:$11,MATCH('Nvidia Analysis'!I$7,'Raw Data'!$9:$9,0))</f>
        <v>110</v>
      </c>
      <c r="J10" s="31">
        <f>INDEX('Raw Data'!$11:$11,MATCH('Nvidia Analysis'!J$7,'Raw Data'!$9:$9,0))</f>
        <v>120</v>
      </c>
      <c r="K10" s="31">
        <f>INDEX('Raw Data'!$11:$11,MATCH('Nvidia Analysis'!K$7,'Raw Data'!$9:$9,0))</f>
        <v>125</v>
      </c>
      <c r="L10" s="31">
        <f>INDEX('Raw Data'!$11:$11,MATCH('Nvidia Analysis'!L$7,'Raw Data'!$9:$9,0))</f>
        <v>108</v>
      </c>
      <c r="M10" s="31">
        <f>INDEX('Raw Data'!$11:$11,MATCH('Nvidia Analysis'!M$7,'Raw Data'!$9:$9,0))</f>
        <v>140</v>
      </c>
      <c r="N10" s="31">
        <f>INDEX('Raw Data'!$11:$11,MATCH('Nvidia Analysis'!N$7,'Raw Data'!$9:$9,0))</f>
        <v>230</v>
      </c>
      <c r="O10" s="31">
        <f>INDEX('Raw Data'!$11:$11,MATCH('Nvidia Analysis'!O$7,'Raw Data'!$9:$9,0))</f>
        <v>120</v>
      </c>
      <c r="P10" s="31">
        <f>INDEX('Raw Data'!$11:$11,MATCH('Nvidia Analysis'!P$7,'Raw Data'!$9:$9,0))</f>
        <v>120</v>
      </c>
      <c r="Q10" s="31">
        <f>INDEX('Raw Data'!$11:$11,MATCH('Nvidia Analysis'!Q$7,'Raw Data'!$9:$9,0))</f>
        <v>220</v>
      </c>
      <c r="R10" s="32">
        <f>INDEX('Raw Data'!$11:$11,MATCH('Nvidia Analysis'!R$7,'Raw Data'!$9:$9,0))</f>
        <v>285</v>
      </c>
      <c r="T10" s="2"/>
    </row>
    <row r="11" spans="1:30" x14ac:dyDescent="0.25">
      <c r="A11" s="122"/>
      <c r="B11" s="15" t="s">
        <v>56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0.54515999999999998</v>
      </c>
      <c r="R11" s="18">
        <f t="shared" si="1"/>
        <v>0.70622999999999991</v>
      </c>
    </row>
    <row r="12" spans="1:30" ht="17.25" x14ac:dyDescent="0.25">
      <c r="A12" s="122"/>
      <c r="B12" s="29" t="s">
        <v>53</v>
      </c>
      <c r="C12" s="33">
        <f t="shared" ref="C12:R12" si="2">C8-C11</f>
        <v>1.6509337635392667</v>
      </c>
      <c r="D12" s="87">
        <f t="shared" ref="D12" si="3">D8-D11</f>
        <v>1.7371557018967536</v>
      </c>
      <c r="E12" s="34">
        <f t="shared" si="2"/>
        <v>2.0034225162471202</v>
      </c>
      <c r="F12" s="34">
        <f t="shared" si="2"/>
        <v>2.3926637707602092</v>
      </c>
      <c r="G12" s="34">
        <f t="shared" ref="G12" si="4">G8-G11</f>
        <v>1.7252737635392668</v>
      </c>
      <c r="H12" s="34">
        <f>H8-H11</f>
        <v>1.8551600144418847</v>
      </c>
      <c r="I12" s="34">
        <f t="shared" si="2"/>
        <v>2.4712670503178007</v>
      </c>
      <c r="J12" s="34">
        <f t="shared" si="2"/>
        <v>2.5601375198575913</v>
      </c>
      <c r="K12" s="34">
        <f t="shared" si="2"/>
        <v>2.4828043944062825</v>
      </c>
      <c r="L12" s="34">
        <f t="shared" si="2"/>
        <v>2.5249303944062826</v>
      </c>
      <c r="M12" s="34">
        <f t="shared" si="2"/>
        <v>2.3936798940452357</v>
      </c>
      <c r="N12" s="34">
        <f t="shared" si="2"/>
        <v>3.274693026717487</v>
      </c>
      <c r="O12" s="34">
        <f t="shared" si="2"/>
        <v>3.6316990898041883</v>
      </c>
      <c r="P12" s="34">
        <f t="shared" si="2"/>
        <v>3.635595677331267</v>
      </c>
      <c r="Q12" s="34">
        <f t="shared" si="2"/>
        <v>5.6893800433256541</v>
      </c>
      <c r="R12" s="35">
        <f t="shared" si="2"/>
        <v>7.0869450541570673</v>
      </c>
    </row>
    <row r="13" spans="1:30" ht="17.25" x14ac:dyDescent="0.25">
      <c r="A13" s="122"/>
      <c r="B13" s="15" t="s">
        <v>54</v>
      </c>
      <c r="C13" s="19">
        <f>INDEX('Raw Data'!$12:$12,MATCH('Nvidia Analysis'!C$7,'Raw Data'!$9:$9,0))</f>
        <v>600</v>
      </c>
      <c r="D13" s="88">
        <f>INDEX('Raw Data'!$12:$12,MATCH('Nvidia Analysis'!D$7,'Raw Data'!$9:$9,0))</f>
        <v>650</v>
      </c>
      <c r="E13" s="20">
        <f>INDEX('Raw Data'!$12:$12,MATCH('Nvidia Analysis'!E$7,'Raw Data'!$9:$9,0))</f>
        <v>700</v>
      </c>
      <c r="F13" s="20">
        <f>INDEX('Raw Data'!$12:$12,MATCH('Nvidia Analysis'!F$7,'Raw Data'!$9:$9,0))</f>
        <v>950</v>
      </c>
      <c r="G13" s="20">
        <f>INDEX('Raw Data'!$12:$12,MATCH('Nvidia Analysis'!G$7,'Raw Data'!$9:$9,0))</f>
        <v>500</v>
      </c>
      <c r="H13" s="20">
        <f>INDEX('Raw Data'!$12:$12,MATCH('Nvidia Analysis'!H$7,'Raw Data'!$9:$9,0))</f>
        <v>800</v>
      </c>
      <c r="I13" s="20">
        <f>INDEX('Raw Data'!$12:$12,MATCH('Nvidia Analysis'!I$7,'Raw Data'!$9:$9,0))</f>
        <v>950</v>
      </c>
      <c r="J13" s="20">
        <f>INDEX('Raw Data'!$12:$12,MATCH('Nvidia Analysis'!J$7,'Raw Data'!$9:$9,0))</f>
        <v>1000</v>
      </c>
      <c r="K13" s="20">
        <f>INDEX('Raw Data'!$12:$12,MATCH('Nvidia Analysis'!K$7,'Raw Data'!$9:$9,0))</f>
        <v>1000</v>
      </c>
      <c r="L13" s="20">
        <f>INDEX('Raw Data'!$12:$12,MATCH('Nvidia Analysis'!L$7,'Raw Data'!$9:$9,0))</f>
        <v>1000</v>
      </c>
      <c r="M13" s="20">
        <f>INDEX('Raw Data'!$12:$12,MATCH('Nvidia Analysis'!M$7,'Raw Data'!$9:$9,0))</f>
        <v>1000</v>
      </c>
      <c r="N13" s="20">
        <f>INDEX('Raw Data'!$12:$12,MATCH('Nvidia Analysis'!N$7,'Raw Data'!$9:$9,0))</f>
        <v>1200</v>
      </c>
      <c r="O13" s="20">
        <f>INDEX('Raw Data'!$12:$12,MATCH('Nvidia Analysis'!O$7,'Raw Data'!$9:$9,0))</f>
        <v>1200</v>
      </c>
      <c r="P13" s="20">
        <f>INDEX('Raw Data'!$12:$12,MATCH('Nvidia Analysis'!P$7,'Raw Data'!$9:$9,0))</f>
        <v>1300</v>
      </c>
      <c r="Q13" s="20">
        <f>INDEX('Raw Data'!$12:$12,MATCH('Nvidia Analysis'!Q$7,'Raw Data'!$9:$9,0))</f>
        <v>1850</v>
      </c>
      <c r="R13" s="21">
        <f>INDEX('Raw Data'!$12:$12,MATCH('Nvidia Analysis'!R$7,'Raw Data'!$9:$9,0))</f>
        <v>2777</v>
      </c>
    </row>
    <row r="14" spans="1:30" x14ac:dyDescent="0.25">
      <c r="A14" s="122"/>
      <c r="B14" s="29" t="s">
        <v>61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436.36363636363632</v>
      </c>
      <c r="R14" s="77">
        <f t="shared" si="5"/>
        <v>421.05263157894734</v>
      </c>
    </row>
    <row r="15" spans="1:30" x14ac:dyDescent="0.25">
      <c r="A15" s="122"/>
      <c r="B15" s="15" t="s">
        <v>55</v>
      </c>
      <c r="C15" s="39">
        <f t="shared" ref="C15:D15" si="6">C13/C12</f>
        <v>363.43069192171697</v>
      </c>
      <c r="D15" s="90">
        <f t="shared" si="6"/>
        <v>374.17486486115348</v>
      </c>
      <c r="E15" s="40">
        <f t="shared" ref="E15:R15" si="7">E13/E12</f>
        <v>349.40208284733865</v>
      </c>
      <c r="F15" s="40">
        <f t="shared" si="7"/>
        <v>397.04701162343474</v>
      </c>
      <c r="G15" s="40">
        <f t="shared" ref="G15" si="8">G13/G12</f>
        <v>289.80907874834213</v>
      </c>
      <c r="H15" s="40">
        <f t="shared" si="7"/>
        <v>431.22964799382862</v>
      </c>
      <c r="I15" s="40">
        <f t="shared" si="7"/>
        <v>384.41818737389457</v>
      </c>
      <c r="J15" s="40">
        <f t="shared" si="7"/>
        <v>390.6040172621764</v>
      </c>
      <c r="K15" s="40">
        <f t="shared" si="7"/>
        <v>402.77035204746034</v>
      </c>
      <c r="L15" s="40">
        <f t="shared" si="7"/>
        <v>396.05052171552717</v>
      </c>
      <c r="M15" s="40">
        <f t="shared" si="7"/>
        <v>417.76680436164537</v>
      </c>
      <c r="N15" s="40">
        <f t="shared" si="7"/>
        <v>366.44656161950718</v>
      </c>
      <c r="O15" s="40">
        <f t="shared" si="7"/>
        <v>330.42385129564821</v>
      </c>
      <c r="P15" s="40">
        <f t="shared" si="7"/>
        <v>357.57551592048145</v>
      </c>
      <c r="Q15" s="40">
        <f t="shared" si="7"/>
        <v>325.1672389455295</v>
      </c>
      <c r="R15" s="41">
        <f t="shared" si="7"/>
        <v>391.84725982474839</v>
      </c>
    </row>
    <row r="16" spans="1:30" ht="18" thickBot="1" x14ac:dyDescent="0.3">
      <c r="A16" s="122"/>
      <c r="B16" s="8" t="s">
        <v>41</v>
      </c>
      <c r="C16" s="36">
        <f>IFERROR(C12*365/C13,"N/A")</f>
        <v>1.0043180394863873</v>
      </c>
      <c r="D16" s="91">
        <f t="shared" ref="D16:R16" si="9">IFERROR(D12*365/D13,"N/A")</f>
        <v>0.97547974029586926</v>
      </c>
      <c r="E16" s="37">
        <f t="shared" si="9"/>
        <v>1.0446417406145698</v>
      </c>
      <c r="F16" s="37">
        <f t="shared" si="9"/>
        <v>0.91928660666050144</v>
      </c>
      <c r="G16" s="37">
        <f t="shared" si="9"/>
        <v>1.2594498473836648</v>
      </c>
      <c r="H16" s="37">
        <f t="shared" si="9"/>
        <v>0.84641675658910986</v>
      </c>
      <c r="I16" s="37">
        <f t="shared" si="9"/>
        <v>0.94948681406947077</v>
      </c>
      <c r="J16" s="37">
        <f t="shared" si="9"/>
        <v>0.93445019474802082</v>
      </c>
      <c r="K16" s="37">
        <f t="shared" si="9"/>
        <v>0.90622360395829304</v>
      </c>
      <c r="L16" s="37">
        <f t="shared" si="9"/>
        <v>0.92159959395829316</v>
      </c>
      <c r="M16" s="37">
        <f t="shared" si="9"/>
        <v>0.87369316132651098</v>
      </c>
      <c r="N16" s="37">
        <f t="shared" si="9"/>
        <v>0.99605246229323563</v>
      </c>
      <c r="O16" s="37">
        <f t="shared" si="9"/>
        <v>1.1046418064821073</v>
      </c>
      <c r="P16" s="37">
        <f t="shared" si="9"/>
        <v>1.0207634017122402</v>
      </c>
      <c r="Q16" s="37">
        <f t="shared" si="9"/>
        <v>1.1224993058453319</v>
      </c>
      <c r="R16" s="38">
        <f t="shared" si="9"/>
        <v>0.93148539602712621</v>
      </c>
    </row>
    <row r="17" spans="1:30" s="6" customFormat="1" x14ac:dyDescent="0.25">
      <c r="A17" s="122"/>
      <c r="B17" s="118" t="s">
        <v>42</v>
      </c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20"/>
      <c r="V17"/>
      <c r="W17"/>
      <c r="X17"/>
      <c r="Y17"/>
      <c r="Z17"/>
      <c r="AA17"/>
      <c r="AB17"/>
      <c r="AC17"/>
      <c r="AD17"/>
    </row>
    <row r="18" spans="1:30" ht="15.75" x14ac:dyDescent="0.25">
      <c r="A18" s="122"/>
      <c r="B18" s="124" t="s">
        <v>44</v>
      </c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6"/>
    </row>
    <row r="19" spans="1:30" ht="16.5" thickBot="1" x14ac:dyDescent="0.3">
      <c r="A19" s="123"/>
      <c r="B19" s="127" t="s">
        <v>43</v>
      </c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9"/>
    </row>
    <row r="20" spans="1:30" ht="15.75" thickBot="1" x14ac:dyDescent="0.3"/>
    <row r="21" spans="1:30" ht="15.75" thickBot="1" x14ac:dyDescent="0.3">
      <c r="A21" s="121" t="s">
        <v>18</v>
      </c>
      <c r="B21" s="108" t="s">
        <v>33</v>
      </c>
      <c r="C21" s="60">
        <f>1-2/$L$5</f>
        <v>2.624823944920962E-2</v>
      </c>
      <c r="D21" s="92"/>
    </row>
    <row r="22" spans="1:30" ht="15.75" customHeight="1" thickBot="1" x14ac:dyDescent="0.3">
      <c r="A22" s="122"/>
      <c r="B22" s="3" t="s">
        <v>0</v>
      </c>
      <c r="C22" s="23">
        <f>C$7</f>
        <v>1070</v>
      </c>
      <c r="D22" s="82" t="s">
        <v>76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22"/>
      <c r="B23" s="42" t="s">
        <v>35</v>
      </c>
      <c r="C23" s="43">
        <f t="shared" ref="C23:R23" si="11">C$8*(1-$C$21)</f>
        <v>1.8971544823164863</v>
      </c>
      <c r="D23" s="93">
        <f t="shared" si="11"/>
        <v>2.0173075995298637</v>
      </c>
      <c r="E23" s="44">
        <f t="shared" si="11"/>
        <v>2.2765853787797838</v>
      </c>
      <c r="F23" s="44">
        <f t="shared" si="11"/>
        <v>2.9089702062186125</v>
      </c>
      <c r="G23" s="44">
        <f t="shared" si="11"/>
        <v>1.8971544823164863</v>
      </c>
      <c r="H23" s="44">
        <f t="shared" si="11"/>
        <v>2.0236314478042523</v>
      </c>
      <c r="I23" s="44">
        <f t="shared" si="11"/>
        <v>2.6718258959290515</v>
      </c>
      <c r="J23" s="44">
        <f t="shared" si="11"/>
        <v>2.7824932407308465</v>
      </c>
      <c r="K23" s="44">
        <f t="shared" si="11"/>
        <v>2.7192547579869641</v>
      </c>
      <c r="L23" s="44">
        <f t="shared" si="11"/>
        <v>2.7192547579869641</v>
      </c>
      <c r="M23" s="44">
        <f t="shared" si="11"/>
        <v>2.6686639717918577</v>
      </c>
      <c r="N23" s="44">
        <f t="shared" si="11"/>
        <v>3.7437181784378666</v>
      </c>
      <c r="O23" s="44">
        <f t="shared" si="11"/>
        <v>3.8259282060049142</v>
      </c>
      <c r="P23" s="44">
        <f t="shared" si="11"/>
        <v>3.8297225149695473</v>
      </c>
      <c r="Q23" s="44">
        <f t="shared" si="11"/>
        <v>6.0708943434127569</v>
      </c>
      <c r="R23" s="45">
        <f t="shared" si="11"/>
        <v>7.5886179292659452</v>
      </c>
    </row>
    <row r="24" spans="1:30" x14ac:dyDescent="0.25">
      <c r="A24" s="122"/>
      <c r="B24" s="22" t="s">
        <v>17</v>
      </c>
      <c r="C24" s="50">
        <f t="shared" ref="C24:R24" si="12">C23-C$11</f>
        <v>1.5997944823164865</v>
      </c>
      <c r="D24" s="94">
        <f t="shared" ref="D24" si="13">D23-D$11</f>
        <v>1.6827775995298637</v>
      </c>
      <c r="E24" s="51">
        <f t="shared" si="12"/>
        <v>1.9420553787797838</v>
      </c>
      <c r="F24" s="51">
        <f t="shared" si="12"/>
        <v>2.3142502062186123</v>
      </c>
      <c r="G24" s="51">
        <f t="shared" ref="G24" si="14">G23-G$11</f>
        <v>1.6741344823164863</v>
      </c>
      <c r="H24" s="51">
        <f t="shared" si="12"/>
        <v>1.8006114478042523</v>
      </c>
      <c r="I24" s="51">
        <f t="shared" si="12"/>
        <v>2.3992458959290515</v>
      </c>
      <c r="J24" s="51">
        <f t="shared" si="12"/>
        <v>2.4851332407308466</v>
      </c>
      <c r="K24" s="51">
        <f t="shared" si="12"/>
        <v>2.409504757986964</v>
      </c>
      <c r="L24" s="51">
        <f t="shared" si="12"/>
        <v>2.4516307579869641</v>
      </c>
      <c r="M24" s="51">
        <f t="shared" si="12"/>
        <v>2.3217439717918578</v>
      </c>
      <c r="N24" s="51">
        <f t="shared" si="12"/>
        <v>3.1737781784378667</v>
      </c>
      <c r="O24" s="51">
        <f t="shared" si="12"/>
        <v>3.5285682060049144</v>
      </c>
      <c r="P24" s="51">
        <f t="shared" si="12"/>
        <v>3.5323625149695475</v>
      </c>
      <c r="Q24" s="51">
        <f t="shared" si="12"/>
        <v>5.5257343434127568</v>
      </c>
      <c r="R24" s="52">
        <f t="shared" si="12"/>
        <v>6.8823879292659456</v>
      </c>
    </row>
    <row r="25" spans="1:30" x14ac:dyDescent="0.25">
      <c r="A25" s="122"/>
      <c r="B25" s="46" t="s">
        <v>15</v>
      </c>
      <c r="C25" s="47">
        <f t="shared" ref="C25:R25" si="15">IF(C24&gt;0,C$13/C24,"N/A")</f>
        <v>375.04817439500476</v>
      </c>
      <c r="D25" s="95">
        <f t="shared" ref="D25" si="16">IF(D24&gt;0,D$13/D24,"N/A")</f>
        <v>386.26613533576733</v>
      </c>
      <c r="E25" s="48">
        <f t="shared" si="15"/>
        <v>360.4428625716215</v>
      </c>
      <c r="F25" s="48">
        <f t="shared" si="15"/>
        <v>410.50012546061737</v>
      </c>
      <c r="G25" s="48">
        <f t="shared" ref="G25" si="17">IF(G24&gt;0,G$13/G24,"N/A")</f>
        <v>298.66178928956413</v>
      </c>
      <c r="H25" s="48">
        <f t="shared" si="15"/>
        <v>444.29352094565235</v>
      </c>
      <c r="I25" s="48">
        <f t="shared" si="15"/>
        <v>395.95774722879537</v>
      </c>
      <c r="J25" s="48">
        <f t="shared" si="15"/>
        <v>402.39291141826766</v>
      </c>
      <c r="K25" s="48">
        <f t="shared" si="15"/>
        <v>415.02304433524188</v>
      </c>
      <c r="L25" s="48">
        <f t="shared" si="15"/>
        <v>407.89176622221072</v>
      </c>
      <c r="M25" s="48">
        <f t="shared" si="15"/>
        <v>430.71071235655137</v>
      </c>
      <c r="N25" s="48">
        <f t="shared" si="15"/>
        <v>378.09825782803756</v>
      </c>
      <c r="O25" s="48">
        <f t="shared" si="15"/>
        <v>340.08128224865857</v>
      </c>
      <c r="P25" s="48">
        <f t="shared" si="15"/>
        <v>368.0256469971082</v>
      </c>
      <c r="Q25" s="48">
        <f t="shared" si="15"/>
        <v>334.79713012359889</v>
      </c>
      <c r="R25" s="49">
        <f t="shared" si="15"/>
        <v>403.49367523899315</v>
      </c>
    </row>
    <row r="26" spans="1:30" ht="15.75" thickBot="1" x14ac:dyDescent="0.3">
      <c r="A26" s="122"/>
      <c r="B26" s="53" t="s">
        <v>16</v>
      </c>
      <c r="C26" s="54">
        <f>IFERROR(C24*365/C$13,"N/A")</f>
        <v>0.97320831007586261</v>
      </c>
      <c r="D26" s="96">
        <f t="shared" ref="D26:R26" si="18">IFERROR(D24*365/D$13,"N/A")</f>
        <v>0.94494434435138497</v>
      </c>
      <c r="E26" s="55">
        <f t="shared" si="18"/>
        <v>1.0126431617923157</v>
      </c>
      <c r="F26" s="55">
        <f t="shared" si="18"/>
        <v>0.88915928975767744</v>
      </c>
      <c r="G26" s="55">
        <f t="shared" si="18"/>
        <v>1.222118172091035</v>
      </c>
      <c r="H26" s="55">
        <f t="shared" si="18"/>
        <v>0.82152897306069006</v>
      </c>
      <c r="I26" s="55">
        <f t="shared" si="18"/>
        <v>0.92181552843589865</v>
      </c>
      <c r="J26" s="55">
        <f t="shared" si="18"/>
        <v>0.90707363286675902</v>
      </c>
      <c r="K26" s="55">
        <f t="shared" si="18"/>
        <v>0.8794692366652419</v>
      </c>
      <c r="L26" s="55">
        <f t="shared" si="18"/>
        <v>0.8948452266652418</v>
      </c>
      <c r="M26" s="55">
        <f t="shared" si="18"/>
        <v>0.84743654970402804</v>
      </c>
      <c r="N26" s="55">
        <f t="shared" si="18"/>
        <v>0.96535752927485119</v>
      </c>
      <c r="O26" s="55">
        <f t="shared" si="18"/>
        <v>1.0732728293264948</v>
      </c>
      <c r="P26" s="55">
        <f t="shared" si="18"/>
        <v>0.99177870612606533</v>
      </c>
      <c r="Q26" s="55">
        <f t="shared" si="18"/>
        <v>1.0902124515381926</v>
      </c>
      <c r="R26" s="56">
        <f t="shared" si="18"/>
        <v>0.90459906164280512</v>
      </c>
    </row>
    <row r="27" spans="1:30" ht="108.75" customHeight="1" thickBot="1" x14ac:dyDescent="0.3">
      <c r="A27" s="123"/>
      <c r="B27" s="139" t="s">
        <v>38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1"/>
    </row>
    <row r="28" spans="1:30" ht="15.75" thickBot="1" x14ac:dyDescent="0.3"/>
    <row r="29" spans="1:30" ht="15.75" thickBot="1" x14ac:dyDescent="0.3">
      <c r="A29" s="121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22"/>
      <c r="B30" s="3" t="s">
        <v>0</v>
      </c>
      <c r="C30" s="23">
        <f>C$7</f>
        <v>1070</v>
      </c>
      <c r="D30" s="82" t="s">
        <v>76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22"/>
      <c r="B31" s="42" t="s">
        <v>35</v>
      </c>
      <c r="C31" s="43">
        <f t="shared" ref="C31:R31" si="20">C$8*(1-$C$29)</f>
        <v>0.11509493407385003</v>
      </c>
      <c r="D31" s="93">
        <f t="shared" si="20"/>
        <v>0.1223842798985272</v>
      </c>
      <c r="E31" s="44">
        <f t="shared" si="20"/>
        <v>0.13811392088862004</v>
      </c>
      <c r="F31" s="44">
        <f t="shared" si="20"/>
        <v>0.17647889891323673</v>
      </c>
      <c r="G31" s="44">
        <f t="shared" si="20"/>
        <v>0.11509493407385003</v>
      </c>
      <c r="H31" s="44">
        <f t="shared" si="20"/>
        <v>0.12276792967877337</v>
      </c>
      <c r="I31" s="44">
        <f t="shared" si="20"/>
        <v>0.16209203215400547</v>
      </c>
      <c r="J31" s="44">
        <f t="shared" si="20"/>
        <v>0.16880590330831338</v>
      </c>
      <c r="K31" s="44">
        <f t="shared" si="20"/>
        <v>0.16496940550585174</v>
      </c>
      <c r="L31" s="44">
        <f t="shared" si="20"/>
        <v>0.16496940550585174</v>
      </c>
      <c r="M31" s="44">
        <f t="shared" si="20"/>
        <v>0.16190020726388241</v>
      </c>
      <c r="N31" s="44">
        <f t="shared" si="20"/>
        <v>0.22712066990573074</v>
      </c>
      <c r="O31" s="44">
        <f t="shared" si="20"/>
        <v>0.23210811704893089</v>
      </c>
      <c r="P31" s="44">
        <f t="shared" si="20"/>
        <v>0.2323383069170786</v>
      </c>
      <c r="Q31" s="44">
        <f t="shared" si="20"/>
        <v>0.36830378903632011</v>
      </c>
      <c r="R31" s="45">
        <f t="shared" si="20"/>
        <v>0.46037973629540013</v>
      </c>
    </row>
    <row r="32" spans="1:30" x14ac:dyDescent="0.25">
      <c r="A32" s="122"/>
      <c r="B32" s="22" t="s">
        <v>17</v>
      </c>
      <c r="C32" s="50">
        <f t="shared" ref="C32:R32" si="21">C31-C$11</f>
        <v>-0.18226506592614994</v>
      </c>
      <c r="D32" s="94">
        <f t="shared" ref="D32" si="22">D31-D$11</f>
        <v>-0.21214572010147287</v>
      </c>
      <c r="E32" s="51">
        <f t="shared" si="21"/>
        <v>-0.19641607911138001</v>
      </c>
      <c r="F32" s="51">
        <f t="shared" si="21"/>
        <v>-0.41824110108676316</v>
      </c>
      <c r="G32" s="51">
        <f t="shared" ref="G32" si="23">G31-G$11</f>
        <v>-0.10792506592614996</v>
      </c>
      <c r="H32" s="51">
        <f t="shared" si="21"/>
        <v>-0.10025207032122663</v>
      </c>
      <c r="I32" s="51">
        <f t="shared" si="21"/>
        <v>-0.11048796784599452</v>
      </c>
      <c r="J32" s="51">
        <f t="shared" si="21"/>
        <v>-0.12855409669168658</v>
      </c>
      <c r="K32" s="51">
        <f t="shared" si="21"/>
        <v>-0.14478059449414823</v>
      </c>
      <c r="L32" s="51">
        <f t="shared" si="21"/>
        <v>-0.10265459449414824</v>
      </c>
      <c r="M32" s="51">
        <f t="shared" si="21"/>
        <v>-0.18501979273611754</v>
      </c>
      <c r="N32" s="51">
        <f t="shared" si="21"/>
        <v>-0.34281933009426913</v>
      </c>
      <c r="O32" s="51">
        <f t="shared" si="21"/>
        <v>-6.5251882951069068E-2</v>
      </c>
      <c r="P32" s="51">
        <f t="shared" si="21"/>
        <v>-6.5021693082921356E-2</v>
      </c>
      <c r="Q32" s="51">
        <f t="shared" si="21"/>
        <v>-0.17685621096367987</v>
      </c>
      <c r="R32" s="52">
        <f t="shared" si="21"/>
        <v>-0.24585026370459978</v>
      </c>
    </row>
    <row r="33" spans="1:18" x14ac:dyDescent="0.25">
      <c r="A33" s="122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 t="str">
        <f t="shared" si="24"/>
        <v>N/A</v>
      </c>
      <c r="P33" s="48" t="str">
        <f t="shared" si="24"/>
        <v>N/A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22"/>
      <c r="B34" s="53" t="s">
        <v>16</v>
      </c>
      <c r="C34" s="54">
        <f>IFERROR(C32*365/C$13,"N/A")</f>
        <v>-0.11087791510507455</v>
      </c>
      <c r="D34" s="96">
        <f t="shared" ref="D34:R34" si="27">IFERROR(D32*365/D$13,"N/A")</f>
        <v>-0.11912798128775014</v>
      </c>
      <c r="E34" s="55">
        <f t="shared" si="27"/>
        <v>-0.10241695553664813</v>
      </c>
      <c r="F34" s="55">
        <f t="shared" si="27"/>
        <v>-0.16069263357544059</v>
      </c>
      <c r="G34" s="55">
        <f t="shared" si="27"/>
        <v>-7.8785298126089476E-2</v>
      </c>
      <c r="H34" s="55">
        <f t="shared" si="27"/>
        <v>-4.5740007084059647E-2</v>
      </c>
      <c r="I34" s="55">
        <f t="shared" si="27"/>
        <v>-4.2450640277671578E-2</v>
      </c>
      <c r="J34" s="55">
        <f t="shared" si="27"/>
        <v>-4.6922245292465595E-2</v>
      </c>
      <c r="K34" s="55">
        <f t="shared" si="27"/>
        <v>-5.2844916990364102E-2</v>
      </c>
      <c r="L34" s="55">
        <f t="shared" si="27"/>
        <v>-3.7468926990364103E-2</v>
      </c>
      <c r="M34" s="55">
        <f t="shared" si="27"/>
        <v>-6.7532224348682904E-2</v>
      </c>
      <c r="N34" s="55">
        <f t="shared" si="27"/>
        <v>-0.10427421290367352</v>
      </c>
      <c r="O34" s="55">
        <f t="shared" si="27"/>
        <v>-1.9847447730950173E-2</v>
      </c>
      <c r="P34" s="55">
        <f t="shared" si="27"/>
        <v>-1.8256090750204842E-2</v>
      </c>
      <c r="Q34" s="55">
        <f t="shared" si="27"/>
        <v>-3.4893252433374676E-2</v>
      </c>
      <c r="R34" s="56">
        <f t="shared" si="27"/>
        <v>-3.2313772507086391E-2</v>
      </c>
    </row>
    <row r="35" spans="1:18" ht="80.25" customHeight="1" thickBot="1" x14ac:dyDescent="0.3">
      <c r="A35" s="123"/>
      <c r="B35" s="139" t="s">
        <v>48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1"/>
    </row>
    <row r="36" spans="1:18" ht="15.75" thickBot="1" x14ac:dyDescent="0.3"/>
    <row r="37" spans="1:18" ht="15.75" thickBot="1" x14ac:dyDescent="0.3">
      <c r="A37" s="121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22"/>
      <c r="B38" s="3" t="s">
        <v>0</v>
      </c>
      <c r="C38" s="23">
        <f>C$7</f>
        <v>1070</v>
      </c>
      <c r="D38" s="82" t="s">
        <v>76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22"/>
      <c r="B39" s="42" t="s">
        <v>35</v>
      </c>
      <c r="C39" s="43">
        <f t="shared" ref="C39:R39" si="29">C$8*(1-$C$37)</f>
        <v>0.67254268705803866</v>
      </c>
      <c r="D39" s="93">
        <f t="shared" si="29"/>
        <v>0.71513705723838117</v>
      </c>
      <c r="E39" s="44">
        <f t="shared" si="29"/>
        <v>0.8070512244696465</v>
      </c>
      <c r="F39" s="44">
        <f t="shared" si="29"/>
        <v>1.0312321201556593</v>
      </c>
      <c r="G39" s="44">
        <f t="shared" si="29"/>
        <v>0.67254268705803866</v>
      </c>
      <c r="H39" s="44">
        <f t="shared" si="29"/>
        <v>0.71737886619524138</v>
      </c>
      <c r="I39" s="44">
        <f t="shared" si="29"/>
        <v>0.94716428427340449</v>
      </c>
      <c r="J39" s="44">
        <f t="shared" si="29"/>
        <v>0.98639594101845673</v>
      </c>
      <c r="K39" s="44">
        <f t="shared" si="29"/>
        <v>0.96397785144985559</v>
      </c>
      <c r="L39" s="44">
        <f t="shared" si="29"/>
        <v>0.96397785144985559</v>
      </c>
      <c r="M39" s="44">
        <f t="shared" si="29"/>
        <v>0.94604337979497455</v>
      </c>
      <c r="N39" s="44">
        <f t="shared" si="29"/>
        <v>1.3271509024611965</v>
      </c>
      <c r="O39" s="44">
        <f t="shared" si="29"/>
        <v>1.3562944189003781</v>
      </c>
      <c r="P39" s="44">
        <f t="shared" si="29"/>
        <v>1.3576395042744942</v>
      </c>
      <c r="Q39" s="44">
        <f t="shared" si="29"/>
        <v>2.1521365985857241</v>
      </c>
      <c r="R39" s="45">
        <f t="shared" si="29"/>
        <v>2.6901707482321546</v>
      </c>
    </row>
    <row r="40" spans="1:18" x14ac:dyDescent="0.25">
      <c r="A40" s="122"/>
      <c r="B40" s="22" t="s">
        <v>17</v>
      </c>
      <c r="C40" s="50">
        <f>C39-C$11</f>
        <v>0.3751826870580387</v>
      </c>
      <c r="D40" s="94">
        <f>D39-D$11</f>
        <v>0.38060705723838112</v>
      </c>
      <c r="E40" s="51">
        <f>E39-E$11</f>
        <v>0.47252122446964645</v>
      </c>
      <c r="F40" s="51">
        <f t="shared" ref="F40:G40" si="30">F39-F$11</f>
        <v>0.43651212015565943</v>
      </c>
      <c r="G40" s="51">
        <f t="shared" si="30"/>
        <v>0.44952268705803866</v>
      </c>
      <c r="H40" s="51">
        <f t="shared" ref="H40" si="31">H39-H$11</f>
        <v>0.49435886619524139</v>
      </c>
      <c r="I40" s="51">
        <f t="shared" ref="I40" si="32">I39-I$11</f>
        <v>0.67458428427340444</v>
      </c>
      <c r="J40" s="51">
        <f t="shared" ref="J40" si="33">J39-J$11</f>
        <v>0.68903594101845678</v>
      </c>
      <c r="K40" s="51">
        <f t="shared" ref="K40" si="34">K39-K$11</f>
        <v>0.65422785144985562</v>
      </c>
      <c r="L40" s="51">
        <f t="shared" ref="L40" si="35">L39-L$11</f>
        <v>0.69635385144985562</v>
      </c>
      <c r="M40" s="51">
        <f t="shared" ref="M40" si="36">M39-M$11</f>
        <v>0.59912337979497465</v>
      </c>
      <c r="N40" s="51">
        <f t="shared" ref="N40" si="37">N39-N$11</f>
        <v>0.7572109024611966</v>
      </c>
      <c r="O40" s="51">
        <f t="shared" ref="O40" si="38">O39-O$11</f>
        <v>1.0589344189003782</v>
      </c>
      <c r="P40" s="51">
        <f t="shared" ref="P40" si="39">P39-P$11</f>
        <v>1.0602795042744941</v>
      </c>
      <c r="Q40" s="51">
        <f t="shared" ref="Q40" si="40">Q39-Q$11</f>
        <v>1.6069765985857241</v>
      </c>
      <c r="R40" s="52">
        <f>R39-R$11</f>
        <v>1.9839407482321547</v>
      </c>
    </row>
    <row r="41" spans="1:18" x14ac:dyDescent="0.25">
      <c r="A41" s="122"/>
      <c r="B41" s="46" t="s">
        <v>15</v>
      </c>
      <c r="C41" s="47">
        <f>IF(C40&gt;0,C$13/C40,"N/A")</f>
        <v>1599.2209147624749</v>
      </c>
      <c r="D41" s="95">
        <f>IF(D40&gt;0,D$13/D40,"N/A")</f>
        <v>1707.7980758325591</v>
      </c>
      <c r="E41" s="48">
        <f>IF(E40&gt;0,E$13/E40,"N/A")</f>
        <v>1481.4149370447299</v>
      </c>
      <c r="F41" s="48">
        <f t="shared" ref="F41:G41" si="41">IF(F40&gt;0,F$13/F40,"N/A")</f>
        <v>2176.3427775183691</v>
      </c>
      <c r="G41" s="48">
        <f t="shared" si="41"/>
        <v>1112.2909129955528</v>
      </c>
      <c r="H41" s="48">
        <f t="shared" ref="H41" si="42">IF(H40&gt;0,H$13/H40,"N/A")</f>
        <v>1618.2576154789731</v>
      </c>
      <c r="I41" s="48">
        <f t="shared" ref="I41" si="43">IF(I40&gt;0,I$13/I40,"N/A")</f>
        <v>1408.2747288179803</v>
      </c>
      <c r="J41" s="48">
        <f t="shared" ref="J41" si="44">IF(J40&gt;0,J$13/J40,"N/A")</f>
        <v>1451.3031040469536</v>
      </c>
      <c r="K41" s="48">
        <f t="shared" ref="K41" si="45">IF(K40&gt;0,K$13/K40,"N/A")</f>
        <v>1528.5194566141865</v>
      </c>
      <c r="L41" s="48">
        <f t="shared" ref="L41" si="46">IF(L40&gt;0,L$13/L40,"N/A")</f>
        <v>1436.0515101882938</v>
      </c>
      <c r="M41" s="48">
        <f t="shared" ref="M41" si="47">IF(M40&gt;0,M$13/M40,"N/A")</f>
        <v>1669.1052856962599</v>
      </c>
      <c r="N41" s="48">
        <f t="shared" ref="N41" si="48">IF(N40&gt;0,N$13/N40,"N/A")</f>
        <v>1584.7632358429944</v>
      </c>
      <c r="O41" s="48">
        <f t="shared" ref="O41" si="49">IF(O40&gt;0,O$13/O40,"N/A")</f>
        <v>1133.2146529396102</v>
      </c>
      <c r="P41" s="48">
        <f t="shared" ref="P41" si="50">IF(P40&gt;0,P$13/P40,"N/A")</f>
        <v>1226.0917944363518</v>
      </c>
      <c r="Q41" s="48">
        <f t="shared" ref="Q41" si="51">IF(Q40&gt;0,Q$13/Q40,"N/A")</f>
        <v>1151.2302056098124</v>
      </c>
      <c r="R41" s="49">
        <f>IF(R40&gt;0,R$13/R40,"N/A")</f>
        <v>1399.7393835851815</v>
      </c>
    </row>
    <row r="42" spans="1:18" ht="15.75" thickBot="1" x14ac:dyDescent="0.3">
      <c r="A42" s="122"/>
      <c r="B42" s="53" t="s">
        <v>16</v>
      </c>
      <c r="C42" s="12">
        <f>IFERROR(C40*365/C$13,"N/A")</f>
        <v>0.22823613462697354</v>
      </c>
      <c r="D42" s="97">
        <f t="shared" ref="D42:R42" si="52">IFERROR(D40*365/D$13,"N/A")</f>
        <v>0.21372550137232171</v>
      </c>
      <c r="E42" s="13">
        <f t="shared" si="52"/>
        <v>0.24638606704488705</v>
      </c>
      <c r="F42" s="13">
        <f t="shared" si="52"/>
        <v>0.16771255142822702</v>
      </c>
      <c r="G42" s="13">
        <f t="shared" si="52"/>
        <v>0.32815156155236819</v>
      </c>
      <c r="H42" s="13">
        <f t="shared" si="52"/>
        <v>0.2255512327015789</v>
      </c>
      <c r="I42" s="13">
        <f t="shared" si="52"/>
        <v>0.25918238290504486</v>
      </c>
      <c r="J42" s="13">
        <f t="shared" si="52"/>
        <v>0.2514981184717367</v>
      </c>
      <c r="K42" s="13">
        <f t="shared" si="52"/>
        <v>0.23879316577919729</v>
      </c>
      <c r="L42" s="13">
        <f t="shared" si="52"/>
        <v>0.2541691557791973</v>
      </c>
      <c r="M42" s="13">
        <f t="shared" si="52"/>
        <v>0.21868003362516575</v>
      </c>
      <c r="N42" s="13">
        <f t="shared" si="52"/>
        <v>0.23031831616528062</v>
      </c>
      <c r="O42" s="13">
        <f t="shared" si="52"/>
        <v>0.3220925524155317</v>
      </c>
      <c r="P42" s="13">
        <f t="shared" si="52"/>
        <v>0.29769386081553106</v>
      </c>
      <c r="Q42" s="13">
        <f t="shared" si="52"/>
        <v>0.31705213972096719</v>
      </c>
      <c r="R42" s="14">
        <f t="shared" si="52"/>
        <v>0.26076282790951982</v>
      </c>
    </row>
    <row r="43" spans="1:18" ht="74.25" customHeight="1" thickBot="1" x14ac:dyDescent="0.3">
      <c r="A43" s="123"/>
      <c r="B43" s="139" t="s">
        <v>37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1"/>
    </row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T37"/>
  <sheetViews>
    <sheetView zoomScaleNormal="100" zoomScaleSheetLayoutView="115" workbookViewId="0">
      <selection activeCell="R17" sqref="R17"/>
    </sheetView>
  </sheetViews>
  <sheetFormatPr defaultRowHeight="15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21" width="9.140625" style="6"/>
    <col min="22" max="22" width="10" style="6" bestFit="1" customWidth="1"/>
    <col min="23" max="16384" width="9.140625" style="6"/>
  </cols>
  <sheetData>
    <row r="1" spans="1:20" ht="31.5" x14ac:dyDescent="0.25">
      <c r="A1" s="117" t="s">
        <v>77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</row>
    <row r="2" spans="1:20" x14ac:dyDescent="0.25">
      <c r="A2" s="135" t="s">
        <v>45</v>
      </c>
      <c r="B2" s="136"/>
      <c r="C2" s="109">
        <f>'Raw Data'!$B$2</f>
        <v>44373</v>
      </c>
      <c r="D2" s="110"/>
      <c r="O2" s="134" t="s">
        <v>50</v>
      </c>
      <c r="P2" s="134"/>
      <c r="Q2" s="134"/>
      <c r="R2" s="134"/>
    </row>
    <row r="3" spans="1:20" ht="15.75" thickBot="1" x14ac:dyDescent="0.3"/>
    <row r="4" spans="1:20" ht="15.75" thickBot="1" x14ac:dyDescent="0.3">
      <c r="A4" s="121" t="s">
        <v>32</v>
      </c>
      <c r="B4" s="130" t="s">
        <v>57</v>
      </c>
      <c r="C4" s="131"/>
      <c r="D4" s="59">
        <f>'Electricity Calculations'!$F$5</f>
        <v>10.324999999999999</v>
      </c>
      <c r="E4" s="1"/>
      <c r="F4" s="130" t="s">
        <v>51</v>
      </c>
      <c r="G4" s="131"/>
      <c r="H4" s="57">
        <f>'Raw Data'!$C$5</f>
        <v>2311.91</v>
      </c>
      <c r="I4" s="1"/>
      <c r="J4" s="130" t="s">
        <v>40</v>
      </c>
      <c r="K4" s="131"/>
      <c r="L4" s="58">
        <f>'Raw Data'!$C$7</f>
        <v>13.23</v>
      </c>
      <c r="N4" s="115" t="s">
        <v>49</v>
      </c>
      <c r="O4" s="116"/>
      <c r="P4" s="132">
        <f>24*3600/$L$4*$L$5*$H$4/$D$5/10000</f>
        <v>6.4943125451308896</v>
      </c>
    </row>
    <row r="5" spans="1:20" ht="15.75" thickBot="1" x14ac:dyDescent="0.3">
      <c r="A5" s="122"/>
      <c r="B5" s="130" t="s">
        <v>47</v>
      </c>
      <c r="C5" s="131"/>
      <c r="D5" s="58">
        <f>'Raw Data'!$C$4</f>
        <v>477.5</v>
      </c>
      <c r="E5" s="1"/>
      <c r="F5" s="130" t="s">
        <v>58</v>
      </c>
      <c r="G5" s="131"/>
      <c r="H5" s="57">
        <f>'Raw Data'!$C$6</f>
        <v>13413.3</v>
      </c>
      <c r="I5" s="1"/>
      <c r="J5" s="130" t="s">
        <v>39</v>
      </c>
      <c r="K5" s="131"/>
      <c r="L5" s="59">
        <f>$H$5/(24*3600/$L$4)</f>
        <v>2.0539115625000002</v>
      </c>
      <c r="N5" s="137"/>
      <c r="O5" s="138"/>
      <c r="P5" s="133"/>
    </row>
    <row r="6" spans="1:20" ht="15.75" thickBot="1" x14ac:dyDescent="0.3">
      <c r="A6" s="122"/>
    </row>
    <row r="7" spans="1:20" ht="15.75" thickBot="1" x14ac:dyDescent="0.3">
      <c r="A7" s="122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73</v>
      </c>
      <c r="I7" s="10" t="s">
        <v>72</v>
      </c>
      <c r="J7" s="10">
        <v>5700</v>
      </c>
      <c r="K7" s="10" t="s">
        <v>67</v>
      </c>
      <c r="L7" s="10" t="s">
        <v>69</v>
      </c>
      <c r="M7" s="10">
        <v>6800</v>
      </c>
      <c r="N7" s="10" t="s">
        <v>70</v>
      </c>
      <c r="O7" s="10" t="s">
        <v>74</v>
      </c>
      <c r="P7" s="10" t="s">
        <v>75</v>
      </c>
      <c r="Q7" s="10" t="s">
        <v>71</v>
      </c>
      <c r="R7" s="11" t="s">
        <v>68</v>
      </c>
    </row>
    <row r="8" spans="1:20" x14ac:dyDescent="0.25">
      <c r="A8" s="122"/>
      <c r="B8" s="26" t="s">
        <v>52</v>
      </c>
      <c r="C8" s="61">
        <f t="shared" ref="C8:R8" si="0">$P$4*C9/100</f>
        <v>1.9742710137197903</v>
      </c>
      <c r="D8" s="83">
        <f t="shared" si="0"/>
        <v>1.9742710137197903</v>
      </c>
      <c r="E8" s="27">
        <f t="shared" si="0"/>
        <v>1.9807653262649214</v>
      </c>
      <c r="F8" s="27">
        <f t="shared" si="0"/>
        <v>2.0327198266259687</v>
      </c>
      <c r="G8" s="27">
        <f t="shared" si="0"/>
        <v>2.0002482639003141</v>
      </c>
      <c r="H8" s="27">
        <f t="shared" si="0"/>
        <v>1.6885212617340313</v>
      </c>
      <c r="I8" s="27">
        <f t="shared" si="0"/>
        <v>2.4028956416984291</v>
      </c>
      <c r="J8" s="27">
        <f t="shared" si="0"/>
        <v>3.4744572116450256</v>
      </c>
      <c r="K8" s="27">
        <f t="shared" si="0"/>
        <v>3.5523889621865972</v>
      </c>
      <c r="L8" s="27">
        <f t="shared" si="0"/>
        <v>3.0523268962115178</v>
      </c>
      <c r="M8" s="27">
        <f t="shared" si="0"/>
        <v>4.1173941536129837</v>
      </c>
      <c r="N8" s="27">
        <f t="shared" si="0"/>
        <v>4.1823372790642939</v>
      </c>
      <c r="O8" s="27">
        <f t="shared" si="0"/>
        <v>4.1563600288837694</v>
      </c>
      <c r="P8" s="27">
        <f t="shared" si="0"/>
        <v>2.5068046424205237</v>
      </c>
      <c r="Q8" s="27">
        <f t="shared" si="0"/>
        <v>3.0523268962115178</v>
      </c>
      <c r="R8" s="28">
        <f t="shared" si="0"/>
        <v>5.8773528533434547</v>
      </c>
    </row>
    <row r="9" spans="1:20" x14ac:dyDescent="0.25">
      <c r="A9" s="122"/>
      <c r="B9" s="15" t="s">
        <v>10</v>
      </c>
      <c r="C9" s="78">
        <f>INDEX('Raw Data'!$16:$16,MATCH('AMD Analysis'!C$7,'Raw Data'!$15:$15,0))</f>
        <v>30.4</v>
      </c>
      <c r="D9" s="84">
        <f>INDEX('Raw Data'!$16:$16,MATCH('AMD Analysis'!D$7,'Raw Data'!$15:$15,0))</f>
        <v>30.4</v>
      </c>
      <c r="E9" s="79">
        <f>INDEX('Raw Data'!$16:$16,MATCH('AMD Analysis'!E$7,'Raw Data'!$15:$15,0))</f>
        <v>30.5</v>
      </c>
      <c r="F9" s="79">
        <f>INDEX('Raw Data'!$16:$16,MATCH('AMD Analysis'!F$7,'Raw Data'!$15:$15,0))</f>
        <v>31.3</v>
      </c>
      <c r="G9" s="79">
        <f>INDEX('Raw Data'!$16:$16,MATCH('AMD Analysis'!G$7,'Raw Data'!$15:$15,0))</f>
        <v>30.8</v>
      </c>
      <c r="H9" s="79">
        <f>INDEX('Raw Data'!$16:$16,MATCH('AMD Analysis'!H$7,'Raw Data'!$15:$15,0))</f>
        <v>26</v>
      </c>
      <c r="I9" s="79">
        <f>INDEX('Raw Data'!$16:$16,MATCH('AMD Analysis'!I$7,'Raw Data'!$15:$15,0))</f>
        <v>37</v>
      </c>
      <c r="J9" s="79">
        <f>INDEX('Raw Data'!$16:$16,MATCH('AMD Analysis'!J$7,'Raw Data'!$15:$15,0))</f>
        <v>53.5</v>
      </c>
      <c r="K9" s="79">
        <f>INDEX('Raw Data'!$16:$16,MATCH('AMD Analysis'!K$7,'Raw Data'!$15:$15,0))</f>
        <v>54.7</v>
      </c>
      <c r="L9" s="79">
        <f>INDEX('Raw Data'!$16:$16,MATCH('AMD Analysis'!L$7,'Raw Data'!$15:$15,0))</f>
        <v>47</v>
      </c>
      <c r="M9" s="79">
        <f>INDEX('Raw Data'!$16:$16,MATCH('AMD Analysis'!M$7,'Raw Data'!$15:$15,0))</f>
        <v>63.4</v>
      </c>
      <c r="N9" s="79">
        <f>INDEX('Raw Data'!$16:$16,MATCH('AMD Analysis'!N$7,'Raw Data'!$15:$15,0))</f>
        <v>64.400000000000006</v>
      </c>
      <c r="O9" s="79">
        <f>INDEX('Raw Data'!$16:$16,MATCH('AMD Analysis'!O$7,'Raw Data'!$15:$15,0))</f>
        <v>64</v>
      </c>
      <c r="P9" s="79">
        <f>INDEX('Raw Data'!$16:$16,MATCH('AMD Analysis'!P$7,'Raw Data'!$15:$15,0))</f>
        <v>38.6</v>
      </c>
      <c r="Q9" s="79">
        <f>INDEX('Raw Data'!$16:$16,MATCH('AMD Analysis'!Q$7,'Raw Data'!$15:$15,0))</f>
        <v>47</v>
      </c>
      <c r="R9" s="80">
        <f>INDEX('Raw Data'!$16:$16,MATCH('AMD Analysis'!R$7,'Raw Data'!$15:$15,0))</f>
        <v>90.5</v>
      </c>
      <c r="T9" s="2"/>
    </row>
    <row r="10" spans="1:20" x14ac:dyDescent="0.25">
      <c r="A10" s="122"/>
      <c r="B10" s="29" t="s">
        <v>36</v>
      </c>
      <c r="C10" s="30">
        <f>INDEX('Raw Data'!$17:$17,MATCH('AMD Analysis'!C$7,'Raw Data'!$15:$15,0))</f>
        <v>120</v>
      </c>
      <c r="D10" s="85">
        <f>INDEX('Raw Data'!$17:$17,MATCH('AMD Analysis'!D$7,'Raw Data'!$15:$15,0))</f>
        <v>130</v>
      </c>
      <c r="E10" s="31">
        <f>INDEX('Raw Data'!$17:$17,MATCH('AMD Analysis'!E$7,'Raw Data'!$15:$15,0))</f>
        <v>130</v>
      </c>
      <c r="F10" s="31">
        <f>INDEX('Raw Data'!$17:$17,MATCH('AMD Analysis'!F$7,'Raw Data'!$15:$15,0))</f>
        <v>130</v>
      </c>
      <c r="G10" s="31">
        <f>INDEX('Raw Data'!$17:$17,MATCH('AMD Analysis'!G$7,'Raw Data'!$15:$15,0))</f>
        <v>130</v>
      </c>
      <c r="H10" s="31">
        <f>INDEX('Raw Data'!$17:$17,MATCH('AMD Analysis'!H$7,'Raw Data'!$15:$15,0))</f>
        <v>70</v>
      </c>
      <c r="I10" s="31">
        <f>INDEX('Raw Data'!$17:$17,MATCH('AMD Analysis'!I$7,'Raw Data'!$15:$15,0))</f>
        <v>100</v>
      </c>
      <c r="J10" s="31">
        <f>INDEX('Raw Data'!$17:$17,MATCH('AMD Analysis'!J$7,'Raw Data'!$15:$15,0))</f>
        <v>160</v>
      </c>
      <c r="K10" s="31">
        <f>INDEX('Raw Data'!$17:$17,MATCH('AMD Analysis'!K$7,'Raw Data'!$15:$15,0))</f>
        <v>140</v>
      </c>
      <c r="L10" s="31">
        <f>INDEX('Raw Data'!$17:$17,MATCH('AMD Analysis'!L$7,'Raw Data'!$15:$15,0))</f>
        <v>170</v>
      </c>
      <c r="M10" s="31">
        <f>INDEX('Raw Data'!$17:$17,MATCH('AMD Analysis'!M$7,'Raw Data'!$15:$15,0))</f>
        <v>175</v>
      </c>
      <c r="N10" s="31">
        <f>INDEX('Raw Data'!$17:$17,MATCH('AMD Analysis'!N$7,'Raw Data'!$15:$15,0))</f>
        <v>190</v>
      </c>
      <c r="O10" s="31">
        <f>INDEX('Raw Data'!$17:$17,MATCH('AMD Analysis'!O$7,'Raw Data'!$15:$15,0))</f>
        <v>220</v>
      </c>
      <c r="P10" s="31">
        <f>INDEX('Raw Data'!$17:$17,MATCH('AMD Analysis'!P$7,'Raw Data'!$15:$15,0))</f>
        <v>215</v>
      </c>
      <c r="Q10" s="31">
        <f>INDEX('Raw Data'!$17:$17,MATCH('AMD Analysis'!Q$7,'Raw Data'!$15:$15,0))</f>
        <v>220</v>
      </c>
      <c r="R10" s="32">
        <f>INDEX('Raw Data'!$17:$17,MATCH('AMD Analysis'!R$7,'Raw Data'!$15:$15,0))</f>
        <v>220</v>
      </c>
      <c r="T10" s="2"/>
    </row>
    <row r="11" spans="1:20" x14ac:dyDescent="0.25">
      <c r="A11" s="122"/>
      <c r="B11" s="15" t="s">
        <v>56</v>
      </c>
      <c r="C11" s="16">
        <f t="shared" ref="C11:R11" si="1">C10*24/1000*$D$4/100</f>
        <v>0.29735999999999996</v>
      </c>
      <c r="D11" s="86">
        <f t="shared" si="1"/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22"/>
      <c r="B12" s="29" t="s">
        <v>53</v>
      </c>
      <c r="C12" s="33">
        <f t="shared" ref="C12:R12" si="2">C8-C11</f>
        <v>1.6769110137197902</v>
      </c>
      <c r="D12" s="87">
        <f t="shared" si="2"/>
        <v>1.6521310137197904</v>
      </c>
      <c r="E12" s="34">
        <f t="shared" si="2"/>
        <v>1.6586253262649215</v>
      </c>
      <c r="F12" s="34">
        <f t="shared" si="2"/>
        <v>1.7105798266259686</v>
      </c>
      <c r="G12" s="34">
        <f t="shared" si="2"/>
        <v>1.678108263900314</v>
      </c>
      <c r="H12" s="34">
        <f>H8-H11</f>
        <v>1.5150612617340313</v>
      </c>
      <c r="I12" s="34">
        <f t="shared" si="2"/>
        <v>2.1550956416984293</v>
      </c>
      <c r="J12" s="34">
        <f t="shared" si="2"/>
        <v>3.0779772116450257</v>
      </c>
      <c r="K12" s="34">
        <f t="shared" si="2"/>
        <v>3.2054689621865973</v>
      </c>
      <c r="L12" s="34">
        <f t="shared" si="2"/>
        <v>2.631066896211518</v>
      </c>
      <c r="M12" s="34">
        <f t="shared" si="2"/>
        <v>3.6837441536129836</v>
      </c>
      <c r="N12" s="34">
        <f t="shared" si="2"/>
        <v>3.7115172790642941</v>
      </c>
      <c r="O12" s="34">
        <f t="shared" si="2"/>
        <v>3.6112000288837693</v>
      </c>
      <c r="P12" s="34">
        <f t="shared" si="2"/>
        <v>1.9740346424205237</v>
      </c>
      <c r="Q12" s="34">
        <f t="shared" si="2"/>
        <v>2.5071668962115177</v>
      </c>
      <c r="R12" s="35">
        <f t="shared" si="2"/>
        <v>5.3321928533434546</v>
      </c>
    </row>
    <row r="13" spans="1:20" ht="17.25" x14ac:dyDescent="0.25">
      <c r="A13" s="122"/>
      <c r="B13" s="15" t="s">
        <v>54</v>
      </c>
      <c r="C13" s="19">
        <f>INDEX('Raw Data'!$18:$18,MATCH('AMD Analysis'!C$7,'Raw Data'!$15:$15,0))</f>
        <v>500</v>
      </c>
      <c r="D13" s="88">
        <f>INDEX('Raw Data'!$18:$18,MATCH('AMD Analysis'!D$7,'Raw Data'!$15:$15,0))</f>
        <v>500</v>
      </c>
      <c r="E13" s="20">
        <f>INDEX('Raw Data'!$18:$18,MATCH('AMD Analysis'!E$7,'Raw Data'!$15:$15,0))</f>
        <v>500</v>
      </c>
      <c r="F13" s="20">
        <f>INDEX('Raw Data'!$18:$18,MATCH('AMD Analysis'!F$7,'Raw Data'!$15:$15,0))</f>
        <v>500</v>
      </c>
      <c r="G13" s="20">
        <f>INDEX('Raw Data'!$18:$18,MATCH('AMD Analysis'!G$7,'Raw Data'!$15:$15,0))</f>
        <v>500</v>
      </c>
      <c r="H13" s="20">
        <f>INDEX('Raw Data'!$18:$18,MATCH('AMD Analysis'!H$7,'Raw Data'!$15:$15,0))</f>
        <v>500</v>
      </c>
      <c r="I13" s="20">
        <f>INDEX('Raw Data'!$18:$18,MATCH('AMD Analysis'!I$7,'Raw Data'!$15:$15,0))</f>
        <v>650</v>
      </c>
      <c r="J13" s="20">
        <f>INDEX('Raw Data'!$18:$18,MATCH('AMD Analysis'!J$7,'Raw Data'!$15:$15,0))</f>
        <v>900</v>
      </c>
      <c r="K13" s="20">
        <f>INDEX('Raw Data'!$18:$18,MATCH('AMD Analysis'!K$7,'Raw Data'!$15:$15,0))</f>
        <v>950</v>
      </c>
      <c r="L13" s="20">
        <f>INDEX('Raw Data'!$18:$18,MATCH('AMD Analysis'!L$7,'Raw Data'!$15:$15,0))</f>
        <v>1000</v>
      </c>
      <c r="M13" s="20">
        <f>INDEX('Raw Data'!$18:$18,MATCH('AMD Analysis'!M$7,'Raw Data'!$15:$15,0))</f>
        <v>1300</v>
      </c>
      <c r="N13" s="20">
        <f>INDEX('Raw Data'!$18:$18,MATCH('AMD Analysis'!N$7,'Raw Data'!$15:$15,0))</f>
        <v>1700</v>
      </c>
      <c r="O13" s="20">
        <f>INDEX('Raw Data'!$18:$18,MATCH('AMD Analysis'!O$7,'Raw Data'!$15:$15,0))</f>
        <v>2200</v>
      </c>
      <c r="P13" s="20">
        <f>INDEX('Raw Data'!$18:$18,MATCH('AMD Analysis'!P$7,'Raw Data'!$15:$15,0))</f>
        <v>700</v>
      </c>
      <c r="Q13" s="20">
        <f>INDEX('Raw Data'!$18:$18,MATCH('AMD Analysis'!Q$7,'Raw Data'!$15:$15,0))</f>
        <v>850</v>
      </c>
      <c r="R13" s="21">
        <f>INDEX('Raw Data'!$18:$18,MATCH('AMD Analysis'!R$7,'Raw Data'!$15:$15,0))</f>
        <v>2100</v>
      </c>
    </row>
    <row r="14" spans="1:20" x14ac:dyDescent="0.25">
      <c r="A14" s="122"/>
      <c r="B14" s="29" t="s">
        <v>61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22"/>
      <c r="B15" s="15" t="s">
        <v>55</v>
      </c>
      <c r="C15" s="39">
        <f t="shared" ref="C15:R15" si="4">C13/C12</f>
        <v>298.16728252674557</v>
      </c>
      <c r="D15" s="90">
        <f t="shared" si="4"/>
        <v>302.63943709539399</v>
      </c>
      <c r="E15" s="40">
        <f t="shared" si="4"/>
        <v>301.45445875106469</v>
      </c>
      <c r="F15" s="40">
        <f t="shared" si="4"/>
        <v>292.29854825671856</v>
      </c>
      <c r="G15" s="40">
        <f t="shared" si="4"/>
        <v>297.9545543967966</v>
      </c>
      <c r="H15" s="40">
        <f t="shared" si="4"/>
        <v>330.01965836532287</v>
      </c>
      <c r="I15" s="40">
        <f t="shared" si="4"/>
        <v>301.61074405390912</v>
      </c>
      <c r="J15" s="40">
        <f t="shared" si="4"/>
        <v>292.39982563710885</v>
      </c>
      <c r="K15" s="40">
        <f t="shared" si="4"/>
        <v>296.36849122755552</v>
      </c>
      <c r="L15" s="40">
        <f t="shared" si="4"/>
        <v>380.07395457709697</v>
      </c>
      <c r="M15" s="40">
        <f t="shared" si="4"/>
        <v>352.9018155956818</v>
      </c>
      <c r="N15" s="40">
        <f t="shared" si="4"/>
        <v>458.03370217060791</v>
      </c>
      <c r="O15" s="40">
        <f t="shared" si="4"/>
        <v>609.21576827745685</v>
      </c>
      <c r="P15" s="40">
        <f t="shared" si="4"/>
        <v>354.60370601281511</v>
      </c>
      <c r="Q15" s="40">
        <f t="shared" si="4"/>
        <v>339.02808835119907</v>
      </c>
      <c r="R15" s="41">
        <f t="shared" si="4"/>
        <v>393.83421750832457</v>
      </c>
    </row>
    <row r="16" spans="1:20" ht="18" thickBot="1" x14ac:dyDescent="0.3">
      <c r="A16" s="122"/>
      <c r="B16" s="8" t="s">
        <v>41</v>
      </c>
      <c r="C16" s="36">
        <f>IFERROR(C12*365/C13,"N/A")</f>
        <v>1.224145040015447</v>
      </c>
      <c r="D16" s="91">
        <f t="shared" ref="D16:R16" si="5">IFERROR(D12*365/D13,"N/A")</f>
        <v>1.2060556400154472</v>
      </c>
      <c r="E16" s="37">
        <f t="shared" si="5"/>
        <v>1.2107964881733926</v>
      </c>
      <c r="F16" s="37">
        <f t="shared" si="5"/>
        <v>1.2487232734369571</v>
      </c>
      <c r="G16" s="37">
        <f t="shared" si="5"/>
        <v>1.225019032647229</v>
      </c>
      <c r="H16" s="37">
        <f t="shared" si="5"/>
        <v>1.105994721065843</v>
      </c>
      <c r="I16" s="37">
        <f t="shared" si="5"/>
        <v>1.2101690911075795</v>
      </c>
      <c r="J16" s="37">
        <f t="shared" si="5"/>
        <v>1.2482907580560383</v>
      </c>
      <c r="K16" s="37">
        <f t="shared" si="5"/>
        <v>1.23157491705064</v>
      </c>
      <c r="L16" s="37">
        <f t="shared" si="5"/>
        <v>0.96033941711720405</v>
      </c>
      <c r="M16" s="37">
        <f t="shared" si="5"/>
        <v>1.0342820123605685</v>
      </c>
      <c r="N16" s="37">
        <f t="shared" si="5"/>
        <v>0.79688459226968666</v>
      </c>
      <c r="O16" s="37">
        <f t="shared" si="5"/>
        <v>0.599130913882989</v>
      </c>
      <c r="P16" s="37">
        <f t="shared" si="5"/>
        <v>1.0293180635478445</v>
      </c>
      <c r="Q16" s="37">
        <f t="shared" si="5"/>
        <v>1.0766069613143576</v>
      </c>
      <c r="R16" s="38">
        <f t="shared" si="5"/>
        <v>0.92678590070017186</v>
      </c>
    </row>
    <row r="17" spans="1:18" ht="15.75" thickBot="1" x14ac:dyDescent="0.3"/>
    <row r="18" spans="1:18" ht="15.75" thickBot="1" x14ac:dyDescent="0.3">
      <c r="A18" s="121" t="s">
        <v>18</v>
      </c>
      <c r="B18" s="108" t="s">
        <v>33</v>
      </c>
      <c r="C18" s="60">
        <f>1-2/$L$5</f>
        <v>2.624823944920962E-2</v>
      </c>
      <c r="D18" s="92"/>
    </row>
    <row r="19" spans="1:18" ht="15.75" customHeight="1" thickBot="1" x14ac:dyDescent="0.3">
      <c r="A19" s="122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22"/>
      <c r="B20" s="42" t="s">
        <v>35</v>
      </c>
      <c r="C20" s="43">
        <f t="shared" ref="C20:R20" si="7">C$8*(1-$C$18)</f>
        <v>1.9224498754140393</v>
      </c>
      <c r="D20" s="93">
        <f t="shared" si="7"/>
        <v>1.9224498754140393</v>
      </c>
      <c r="E20" s="44">
        <f t="shared" si="7"/>
        <v>1.9287737236884279</v>
      </c>
      <c r="F20" s="44">
        <f t="shared" si="7"/>
        <v>1.9793645098835344</v>
      </c>
      <c r="G20" s="44">
        <f t="shared" si="7"/>
        <v>1.9477452685115928</v>
      </c>
      <c r="H20" s="44">
        <f t="shared" si="7"/>
        <v>1.6442005513409548</v>
      </c>
      <c r="I20" s="44">
        <f t="shared" si="7"/>
        <v>2.3398238615236666</v>
      </c>
      <c r="J20" s="44">
        <f t="shared" si="7"/>
        <v>3.3832588267977339</v>
      </c>
      <c r="K20" s="44">
        <f t="shared" si="7"/>
        <v>3.4591450060903939</v>
      </c>
      <c r="L20" s="44">
        <f t="shared" si="7"/>
        <v>2.9722086889624952</v>
      </c>
      <c r="M20" s="44">
        <f t="shared" si="7"/>
        <v>4.009319805962174</v>
      </c>
      <c r="N20" s="44">
        <f t="shared" si="7"/>
        <v>4.0725582887060581</v>
      </c>
      <c r="O20" s="44">
        <f t="shared" si="7"/>
        <v>4.0472628956085046</v>
      </c>
      <c r="P20" s="44">
        <f t="shared" si="7"/>
        <v>2.4410054339138796</v>
      </c>
      <c r="Q20" s="44">
        <f t="shared" si="7"/>
        <v>2.9722086889624952</v>
      </c>
      <c r="R20" s="45">
        <f t="shared" si="7"/>
        <v>5.7230826883214005</v>
      </c>
    </row>
    <row r="21" spans="1:18" x14ac:dyDescent="0.25">
      <c r="A21" s="122"/>
      <c r="B21" s="22" t="s">
        <v>17</v>
      </c>
      <c r="C21" s="50">
        <f t="shared" ref="C21:R21" si="8">C20-C$11</f>
        <v>1.6250898754140395</v>
      </c>
      <c r="D21" s="94">
        <f t="shared" si="8"/>
        <v>1.6003098754140392</v>
      </c>
      <c r="E21" s="51">
        <f t="shared" si="8"/>
        <v>1.6066337236884278</v>
      </c>
      <c r="F21" s="51">
        <f t="shared" si="8"/>
        <v>1.6572245098835343</v>
      </c>
      <c r="G21" s="51">
        <f t="shared" si="8"/>
        <v>1.6256052685115927</v>
      </c>
      <c r="H21" s="51">
        <f t="shared" si="8"/>
        <v>1.4707405513409548</v>
      </c>
      <c r="I21" s="51">
        <f t="shared" si="8"/>
        <v>2.0920238615236668</v>
      </c>
      <c r="J21" s="51">
        <f t="shared" si="8"/>
        <v>2.986778826797734</v>
      </c>
      <c r="K21" s="51">
        <f t="shared" si="8"/>
        <v>3.112225006090394</v>
      </c>
      <c r="L21" s="51">
        <f t="shared" si="8"/>
        <v>2.550948688962495</v>
      </c>
      <c r="M21" s="51">
        <f t="shared" si="8"/>
        <v>3.5756698059621739</v>
      </c>
      <c r="N21" s="51">
        <f t="shared" si="8"/>
        <v>3.6017382887060583</v>
      </c>
      <c r="O21" s="51">
        <f t="shared" si="8"/>
        <v>3.5021028956085045</v>
      </c>
      <c r="P21" s="51">
        <f t="shared" si="8"/>
        <v>1.9082354339138796</v>
      </c>
      <c r="Q21" s="51">
        <f t="shared" si="8"/>
        <v>2.4270486889624951</v>
      </c>
      <c r="R21" s="52">
        <f t="shared" si="8"/>
        <v>5.1779226883214005</v>
      </c>
    </row>
    <row r="22" spans="1:18" x14ac:dyDescent="0.25">
      <c r="A22" s="122"/>
      <c r="B22" s="46" t="s">
        <v>15</v>
      </c>
      <c r="C22" s="47">
        <f t="shared" ref="C22:R22" si="9">IF(C21&gt;0,C$13/C21,"N/A")</f>
        <v>307.67529080359958</v>
      </c>
      <c r="D22" s="95">
        <f t="shared" si="9"/>
        <v>312.43948917745558</v>
      </c>
      <c r="E22" s="48">
        <f t="shared" si="9"/>
        <v>311.20970052348054</v>
      </c>
      <c r="F22" s="48">
        <f t="shared" si="9"/>
        <v>301.70927174806195</v>
      </c>
      <c r="G22" s="48">
        <f t="shared" si="9"/>
        <v>307.57774330898974</v>
      </c>
      <c r="H22" s="48">
        <f t="shared" si="9"/>
        <v>339.96478817703269</v>
      </c>
      <c r="I22" s="48">
        <f t="shared" si="9"/>
        <v>310.7039130646391</v>
      </c>
      <c r="J22" s="48">
        <f t="shared" si="9"/>
        <v>301.3279697596264</v>
      </c>
      <c r="K22" s="48">
        <f t="shared" si="9"/>
        <v>305.24785262663215</v>
      </c>
      <c r="L22" s="48">
        <f t="shared" si="9"/>
        <v>392.01102096910989</v>
      </c>
      <c r="M22" s="48">
        <f t="shared" si="9"/>
        <v>363.56824610380494</v>
      </c>
      <c r="N22" s="48">
        <f t="shared" si="9"/>
        <v>471.99431600310226</v>
      </c>
      <c r="O22" s="48">
        <f t="shared" si="9"/>
        <v>628.19399246056162</v>
      </c>
      <c r="P22" s="48">
        <f t="shared" si="9"/>
        <v>366.83104587585791</v>
      </c>
      <c r="Q22" s="48">
        <f t="shared" si="9"/>
        <v>350.21959133557988</v>
      </c>
      <c r="R22" s="49">
        <f t="shared" si="9"/>
        <v>405.56804850262961</v>
      </c>
    </row>
    <row r="23" spans="1:18" ht="15.75" thickBot="1" x14ac:dyDescent="0.3">
      <c r="A23" s="123"/>
      <c r="B23" s="53" t="s">
        <v>16</v>
      </c>
      <c r="C23" s="54">
        <f>IFERROR(C21*365/C$13,"N/A")</f>
        <v>1.1863156090522489</v>
      </c>
      <c r="D23" s="96">
        <f t="shared" ref="D23:R23" si="10">IFERROR(D21*365/D$13,"N/A")</f>
        <v>1.1682262090522486</v>
      </c>
      <c r="E23" s="55">
        <f t="shared" si="10"/>
        <v>1.1728426182925522</v>
      </c>
      <c r="F23" s="55">
        <f t="shared" si="10"/>
        <v>1.2097738922149801</v>
      </c>
      <c r="G23" s="55">
        <f t="shared" si="10"/>
        <v>1.1866918460134628</v>
      </c>
      <c r="H23" s="55">
        <f t="shared" si="10"/>
        <v>1.0736406024788971</v>
      </c>
      <c r="I23" s="55">
        <f t="shared" si="10"/>
        <v>1.1747518607017513</v>
      </c>
      <c r="J23" s="55">
        <f t="shared" si="10"/>
        <v>1.2113047464235254</v>
      </c>
      <c r="K23" s="55">
        <f t="shared" si="10"/>
        <v>1.1957496076031513</v>
      </c>
      <c r="L23" s="55">
        <f t="shared" si="10"/>
        <v>0.93109627147131069</v>
      </c>
      <c r="M23" s="55">
        <f t="shared" si="10"/>
        <v>1.0039380609047641</v>
      </c>
      <c r="N23" s="55">
        <f t="shared" si="10"/>
        <v>0.77331439728100659</v>
      </c>
      <c r="O23" s="55">
        <f t="shared" si="10"/>
        <v>0.58103070768050191</v>
      </c>
      <c r="P23" s="55">
        <f t="shared" si="10"/>
        <v>0.99500847625509437</v>
      </c>
      <c r="Q23" s="55">
        <f t="shared" si="10"/>
        <v>1.0422032605544833</v>
      </c>
      <c r="R23" s="56">
        <f t="shared" si="10"/>
        <v>0.89997227677967206</v>
      </c>
    </row>
    <row r="24" spans="1:18" ht="15.75" thickBot="1" x14ac:dyDescent="0.3"/>
    <row r="25" spans="1:18" ht="15.75" thickBot="1" x14ac:dyDescent="0.3">
      <c r="A25" s="121" t="s">
        <v>78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22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22"/>
      <c r="B27" s="42" t="s">
        <v>35</v>
      </c>
      <c r="C27" s="43">
        <f t="shared" ref="C27:R27" si="12">C$8*(1-$C$25)</f>
        <v>0.1166295331948347</v>
      </c>
      <c r="D27" s="93">
        <f t="shared" si="12"/>
        <v>0.1166295331948347</v>
      </c>
      <c r="E27" s="44">
        <f t="shared" si="12"/>
        <v>0.11701318297508087</v>
      </c>
      <c r="F27" s="44">
        <f t="shared" si="12"/>
        <v>0.12008238121705021</v>
      </c>
      <c r="G27" s="44">
        <f t="shared" si="12"/>
        <v>0.11816413231581938</v>
      </c>
      <c r="H27" s="44">
        <f t="shared" si="12"/>
        <v>9.9748942864003362E-2</v>
      </c>
      <c r="I27" s="44">
        <f t="shared" si="12"/>
        <v>0.14195041869108171</v>
      </c>
      <c r="J27" s="44">
        <f t="shared" si="12"/>
        <v>0.20525263243169922</v>
      </c>
      <c r="K27" s="44">
        <f t="shared" si="12"/>
        <v>0.20985642979465327</v>
      </c>
      <c r="L27" s="44">
        <f t="shared" si="12"/>
        <v>0.18031539671569838</v>
      </c>
      <c r="M27" s="44">
        <f t="shared" si="12"/>
        <v>0.24323396067606973</v>
      </c>
      <c r="N27" s="44">
        <f t="shared" si="12"/>
        <v>0.24707045847853146</v>
      </c>
      <c r="O27" s="44">
        <f t="shared" si="12"/>
        <v>0.24553585935754674</v>
      </c>
      <c r="P27" s="44">
        <f t="shared" si="12"/>
        <v>0.1480888151750204</v>
      </c>
      <c r="Q27" s="44">
        <f t="shared" si="12"/>
        <v>0.18031539671569838</v>
      </c>
      <c r="R27" s="45">
        <f t="shared" si="12"/>
        <v>0.34720305112278094</v>
      </c>
    </row>
    <row r="28" spans="1:18" x14ac:dyDescent="0.25">
      <c r="A28" s="122"/>
      <c r="B28" s="22" t="s">
        <v>17</v>
      </c>
      <c r="C28" s="50">
        <f t="shared" ref="C28:R28" si="13">C27-C$11</f>
        <v>-0.18073046680516525</v>
      </c>
      <c r="D28" s="94">
        <f t="shared" si="13"/>
        <v>-0.20551046680516527</v>
      </c>
      <c r="E28" s="51">
        <f t="shared" si="13"/>
        <v>-0.20512681702491911</v>
      </c>
      <c r="F28" s="51">
        <f t="shared" si="13"/>
        <v>-0.20205761878294975</v>
      </c>
      <c r="G28" s="51">
        <f t="shared" si="13"/>
        <v>-0.20397586768418061</v>
      </c>
      <c r="H28" s="51">
        <f t="shared" si="13"/>
        <v>-7.3711057135996613E-2</v>
      </c>
      <c r="I28" s="51">
        <f t="shared" si="13"/>
        <v>-0.10584958130891825</v>
      </c>
      <c r="J28" s="51">
        <f t="shared" si="13"/>
        <v>-0.19122736756830072</v>
      </c>
      <c r="K28" s="51">
        <f t="shared" si="13"/>
        <v>-0.13706357020534668</v>
      </c>
      <c r="L28" s="51">
        <f t="shared" si="13"/>
        <v>-0.24094460328430159</v>
      </c>
      <c r="M28" s="51">
        <f t="shared" si="13"/>
        <v>-0.19041603932393031</v>
      </c>
      <c r="N28" s="51">
        <f t="shared" si="13"/>
        <v>-0.2237495415214685</v>
      </c>
      <c r="O28" s="51">
        <f t="shared" si="13"/>
        <v>-0.29962414064245324</v>
      </c>
      <c r="P28" s="51">
        <f t="shared" si="13"/>
        <v>-0.38468118482497959</v>
      </c>
      <c r="Q28" s="51">
        <f t="shared" si="13"/>
        <v>-0.36484460328430157</v>
      </c>
      <c r="R28" s="52">
        <f t="shared" si="13"/>
        <v>-0.19795694887721904</v>
      </c>
    </row>
    <row r="29" spans="1:18" x14ac:dyDescent="0.25">
      <c r="A29" s="122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23"/>
      <c r="B30" s="53" t="s">
        <v>16</v>
      </c>
      <c r="C30" s="54">
        <f>IFERROR(C28*365/C$13,"N/A")</f>
        <v>-0.13193324076777063</v>
      </c>
      <c r="D30" s="96">
        <f t="shared" ref="D30:R30" si="15">IFERROR(D28*365/D$13,"N/A")</f>
        <v>-0.15002264076777064</v>
      </c>
      <c r="E30" s="55">
        <f t="shared" si="15"/>
        <v>-0.14974257642819094</v>
      </c>
      <c r="F30" s="55">
        <f t="shared" si="15"/>
        <v>-0.14750206171155333</v>
      </c>
      <c r="G30" s="55">
        <f t="shared" si="15"/>
        <v>-0.14890238340945183</v>
      </c>
      <c r="H30" s="55">
        <f t="shared" si="15"/>
        <v>-5.3809071709277526E-2</v>
      </c>
      <c r="I30" s="55">
        <f t="shared" si="15"/>
        <v>-5.9438611042700248E-2</v>
      </c>
      <c r="J30" s="55">
        <f t="shared" si="15"/>
        <v>-7.7553321291588623E-2</v>
      </c>
      <c r="K30" s="55">
        <f t="shared" si="15"/>
        <v>-5.2661266447317411E-2</v>
      </c>
      <c r="L30" s="55">
        <f t="shared" si="15"/>
        <v>-8.794478019877007E-2</v>
      </c>
      <c r="M30" s="55">
        <f t="shared" si="15"/>
        <v>-5.346296488710351E-2</v>
      </c>
      <c r="N30" s="55">
        <f t="shared" si="15"/>
        <v>-4.8040342738432947E-2</v>
      </c>
      <c r="O30" s="55">
        <f t="shared" si="15"/>
        <v>-4.9710368788407018E-2</v>
      </c>
      <c r="P30" s="55">
        <f t="shared" si="15"/>
        <v>-0.20058376065873937</v>
      </c>
      <c r="Q30" s="55">
        <f t="shared" si="15"/>
        <v>-0.1566685649397295</v>
      </c>
      <c r="R30" s="56">
        <f t="shared" si="15"/>
        <v>-3.4406803019135686E-2</v>
      </c>
    </row>
    <row r="31" spans="1:18" ht="15.75" thickBot="1" x14ac:dyDescent="0.3"/>
    <row r="32" spans="1:18" ht="15.75" thickBot="1" x14ac:dyDescent="0.3">
      <c r="A32" s="121" t="s">
        <v>79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22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22"/>
      <c r="B34" s="42" t="s">
        <v>35</v>
      </c>
      <c r="C34" s="43">
        <f t="shared" ref="C34:R34" si="17">C$8*(1-$C$32)</f>
        <v>0.68150992288547918</v>
      </c>
      <c r="D34" s="93">
        <f t="shared" si="17"/>
        <v>0.68150992288547918</v>
      </c>
      <c r="E34" s="44">
        <f t="shared" si="17"/>
        <v>0.68375173184233939</v>
      </c>
      <c r="F34" s="44">
        <f t="shared" si="17"/>
        <v>0.70168620349722055</v>
      </c>
      <c r="G34" s="44">
        <f t="shared" si="17"/>
        <v>0.69047715871291981</v>
      </c>
      <c r="H34" s="44">
        <f t="shared" si="17"/>
        <v>0.58287032878363354</v>
      </c>
      <c r="I34" s="44">
        <f t="shared" si="17"/>
        <v>0.82946931403824775</v>
      </c>
      <c r="J34" s="44">
        <f t="shared" si="17"/>
        <v>1.1993677919201691</v>
      </c>
      <c r="K34" s="44">
        <f t="shared" si="17"/>
        <v>1.2262694994024907</v>
      </c>
      <c r="L34" s="44">
        <f t="shared" si="17"/>
        <v>1.0536502097242606</v>
      </c>
      <c r="M34" s="44">
        <f t="shared" si="17"/>
        <v>1.4213068786493217</v>
      </c>
      <c r="N34" s="44">
        <f t="shared" si="17"/>
        <v>1.4437249682179234</v>
      </c>
      <c r="O34" s="44">
        <f t="shared" si="17"/>
        <v>1.4347577323904828</v>
      </c>
      <c r="P34" s="44">
        <f t="shared" si="17"/>
        <v>0.86533825734800995</v>
      </c>
      <c r="Q34" s="44">
        <f t="shared" si="17"/>
        <v>1.0536502097242606</v>
      </c>
      <c r="R34" s="45">
        <f t="shared" si="17"/>
        <v>2.0288371059584169</v>
      </c>
    </row>
    <row r="35" spans="1:18" x14ac:dyDescent="0.25">
      <c r="A35" s="122"/>
      <c r="B35" s="22" t="s">
        <v>17</v>
      </c>
      <c r="C35" s="50">
        <f>C34-C$11</f>
        <v>0.38414992288547922</v>
      </c>
      <c r="D35" s="94">
        <f>D34-D$11</f>
        <v>0.3593699228854792</v>
      </c>
      <c r="E35" s="51">
        <f>E34-E$11</f>
        <v>0.36161173184233941</v>
      </c>
      <c r="F35" s="51">
        <f t="shared" ref="F35:Q35" si="18">F34-F$11</f>
        <v>0.37954620349722057</v>
      </c>
      <c r="G35" s="51">
        <f t="shared" si="18"/>
        <v>0.36833715871291983</v>
      </c>
      <c r="H35" s="51">
        <f t="shared" si="18"/>
        <v>0.40941032878363359</v>
      </c>
      <c r="I35" s="51">
        <f t="shared" si="18"/>
        <v>0.58166931403824784</v>
      </c>
      <c r="J35" s="51">
        <f t="shared" si="18"/>
        <v>0.80288779192016912</v>
      </c>
      <c r="K35" s="51">
        <f t="shared" si="18"/>
        <v>0.87934949940249085</v>
      </c>
      <c r="L35" s="51">
        <f t="shared" si="18"/>
        <v>0.63239020972426063</v>
      </c>
      <c r="M35" s="51">
        <f t="shared" si="18"/>
        <v>0.98765687864932161</v>
      </c>
      <c r="N35" s="51">
        <f t="shared" si="18"/>
        <v>0.97290496821792338</v>
      </c>
      <c r="O35" s="51">
        <f t="shared" si="18"/>
        <v>0.88959773239048279</v>
      </c>
      <c r="P35" s="51">
        <f t="shared" si="18"/>
        <v>0.33256825734800999</v>
      </c>
      <c r="Q35" s="51">
        <f t="shared" si="18"/>
        <v>0.50849020972426062</v>
      </c>
      <c r="R35" s="52">
        <f>R34-R$11</f>
        <v>1.4836771059584168</v>
      </c>
    </row>
    <row r="36" spans="1:18" x14ac:dyDescent="0.25">
      <c r="A36" s="122"/>
      <c r="B36" s="46" t="s">
        <v>15</v>
      </c>
      <c r="C36" s="47">
        <f>IF(C35&gt;0,C$13/C35,"N/A")</f>
        <v>1301.5751669148647</v>
      </c>
      <c r="D36" s="95">
        <f>IF(D35&gt;0,D$13/D35,"N/A")</f>
        <v>1391.3240039271054</v>
      </c>
      <c r="E36" s="48">
        <f>IF(E35&gt;0,E$13/E35,"N/A")</f>
        <v>1382.6985022100916</v>
      </c>
      <c r="F36" s="48">
        <f t="shared" ref="F36:Q36" si="19">IF(F35&gt;0,F$13/F35,"N/A")</f>
        <v>1317.3626699276456</v>
      </c>
      <c r="G36" s="48">
        <f t="shared" si="19"/>
        <v>1357.4519653329289</v>
      </c>
      <c r="H36" s="48">
        <f t="shared" si="19"/>
        <v>1221.2686511488612</v>
      </c>
      <c r="I36" s="48">
        <f t="shared" si="19"/>
        <v>1117.4734240102257</v>
      </c>
      <c r="J36" s="48">
        <f t="shared" si="19"/>
        <v>1120.9536488873239</v>
      </c>
      <c r="K36" s="48">
        <f t="shared" si="19"/>
        <v>1080.3440505117878</v>
      </c>
      <c r="L36" s="48">
        <f t="shared" si="19"/>
        <v>1581.3021527262847</v>
      </c>
      <c r="M36" s="48">
        <f t="shared" si="19"/>
        <v>1316.2465914051304</v>
      </c>
      <c r="N36" s="48">
        <f t="shared" si="19"/>
        <v>1747.3443507169065</v>
      </c>
      <c r="O36" s="48">
        <f t="shared" si="19"/>
        <v>2473.0278865350401</v>
      </c>
      <c r="P36" s="48">
        <f t="shared" si="19"/>
        <v>2104.8310671078202</v>
      </c>
      <c r="Q36" s="48">
        <f t="shared" si="19"/>
        <v>1671.615271532819</v>
      </c>
      <c r="R36" s="49">
        <f>IF(R35&gt;0,R$13/R35,"N/A")</f>
        <v>1415.4023079323952</v>
      </c>
    </row>
    <row r="37" spans="1:18" ht="15.75" thickBot="1" x14ac:dyDescent="0.3">
      <c r="A37" s="123"/>
      <c r="B37" s="53" t="s">
        <v>16</v>
      </c>
      <c r="C37" s="12">
        <f>IFERROR(C35*365/C$13,"N/A")</f>
        <v>0.28042944370639983</v>
      </c>
      <c r="D37" s="97">
        <f t="shared" ref="D37:R37" si="20">IFERROR(D35*365/D$13,"N/A")</f>
        <v>0.26234004370639979</v>
      </c>
      <c r="E37" s="13">
        <f t="shared" si="20"/>
        <v>0.26397656424490779</v>
      </c>
      <c r="F37" s="13">
        <f t="shared" si="20"/>
        <v>0.27706872855297104</v>
      </c>
      <c r="G37" s="13">
        <f t="shared" si="20"/>
        <v>0.26888612586043148</v>
      </c>
      <c r="H37" s="13">
        <f t="shared" si="20"/>
        <v>0.29886954001205251</v>
      </c>
      <c r="I37" s="13">
        <f t="shared" si="20"/>
        <v>0.32662969172916995</v>
      </c>
      <c r="J37" s="13">
        <f t="shared" si="20"/>
        <v>0.32561560450095745</v>
      </c>
      <c r="K37" s="13">
        <f t="shared" si="20"/>
        <v>0.33785533398095702</v>
      </c>
      <c r="L37" s="13">
        <f t="shared" si="20"/>
        <v>0.23082242654935514</v>
      </c>
      <c r="M37" s="13">
        <f t="shared" si="20"/>
        <v>0.27730366208230955</v>
      </c>
      <c r="N37" s="13">
        <f t="shared" si="20"/>
        <v>0.20888841964678942</v>
      </c>
      <c r="O37" s="13">
        <f t="shared" si="20"/>
        <v>0.14759235105569374</v>
      </c>
      <c r="P37" s="13">
        <f t="shared" si="20"/>
        <v>0.17341059133146236</v>
      </c>
      <c r="Q37" s="13">
        <f t="shared" si="20"/>
        <v>0.21835167829335897</v>
      </c>
      <c r="R37" s="14">
        <f t="shared" si="20"/>
        <v>0.25787721127372482</v>
      </c>
    </row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5"/>
  <sheetViews>
    <sheetView zoomScale="115" zoomScaleNormal="115" workbookViewId="0">
      <selection activeCell="H36" sqref="H36"/>
    </sheetView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6" ht="30.75" customHeight="1" thickBot="1" x14ac:dyDescent="0.3">
      <c r="A1" s="72" t="s">
        <v>6</v>
      </c>
      <c r="B1" s="68" t="s">
        <v>5</v>
      </c>
      <c r="C1" s="4" t="s">
        <v>60</v>
      </c>
      <c r="D1" s="68" t="s">
        <v>59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Raw Data</vt:lpstr>
      <vt:lpstr>Nvidia Analysis</vt:lpstr>
      <vt:lpstr>AMD Analysis</vt:lpstr>
      <vt:lpstr>Electricity Calculations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2021-06-27T03:48:31Z</cp:lastPrinted>
  <dcterms:created xsi:type="dcterms:W3CDTF">2021-03-17T05:33:13Z</dcterms:created>
  <dcterms:modified xsi:type="dcterms:W3CDTF">2021-06-27T03:53:22Z</dcterms:modified>
</cp:coreProperties>
</file>