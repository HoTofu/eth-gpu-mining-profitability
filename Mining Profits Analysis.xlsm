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8946043C-0B71-401C-A8E1-BE06E9E5D95D}" xr6:coauthVersionLast="47" xr6:coauthVersionMax="47" xr10:uidLastSave="{00000000-0000-0000-0000-000000000000}"/>
  <bookViews>
    <workbookView xWindow="-38510" yWindow="-7270" windowWidth="38620" windowHeight="2122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9" l="1"/>
  <c r="P4" i="7"/>
  <c r="L5" i="7"/>
  <c r="P4" i="3"/>
  <c r="C8" i="3" s="1"/>
  <c r="C9" i="3"/>
  <c r="L4" i="3"/>
  <c r="L5" i="3" s="1"/>
  <c r="C28" i="9"/>
  <c r="F28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D8" i="3" l="1"/>
  <c r="J14" i="7"/>
  <c r="K14" i="7"/>
  <c r="C8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Q8" i="7" l="1"/>
  <c r="R8" i="7"/>
  <c r="R34" i="7" s="1"/>
  <c r="R35" i="7" s="1"/>
  <c r="R37" i="7" s="1"/>
  <c r="K8" i="7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34" i="7"/>
  <c r="G35" i="7" s="1"/>
  <c r="G37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27" i="7" l="1"/>
  <c r="G28" i="7" s="1"/>
  <c r="G30" i="7" s="1"/>
  <c r="G12" i="7"/>
  <c r="G16" i="7" s="1"/>
  <c r="Q23" i="3"/>
  <c r="L20" i="7"/>
  <c r="L21" i="7" s="1"/>
  <c r="L23" i="7" s="1"/>
  <c r="K12" i="3"/>
  <c r="K16" i="3" s="1"/>
  <c r="E23" i="3"/>
  <c r="R23" i="3"/>
  <c r="M23" i="3"/>
  <c r="K39" i="3"/>
  <c r="K40" i="3" s="1"/>
  <c r="K42" i="3" s="1"/>
  <c r="F23" i="3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31" i="3"/>
  <c r="O23" i="3"/>
  <c r="Q31" i="3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E29" i="7"/>
  <c r="K36" i="7"/>
  <c r="D29" i="7"/>
  <c r="G15" i="7"/>
  <c r="L22" i="7"/>
  <c r="C22" i="7"/>
  <c r="N22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K15" i="3"/>
  <c r="H24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M15" i="7" l="1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<sst xmlns="http://schemas.openxmlformats.org/spreadsheetml/2006/main" count="2292" uniqueCount="116">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</sst>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L6" sqref="L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44411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572.77</v>
      </c>
      <c r="D4" s="1"/>
      <c r="H4" s="1"/>
    </row>
    <row r="5" spans="1:23" ht="15.75" thickBot="1" x14ac:dyDescent="0.3">
      <c r="A5" s="128" t="s">
        <v>115</v>
      </c>
      <c r="B5" s="129"/>
      <c r="C5" s="57">
        <v>3101.59</v>
      </c>
    </row>
    <row r="6" spans="1:23" s="6" customFormat="1" ht="15.75" thickBot="1" x14ac:dyDescent="0.3">
      <c r="A6" s="128" t="s">
        <v>111</v>
      </c>
      <c r="B6" s="129"/>
      <c r="C6" s="57">
        <v>16915</v>
      </c>
    </row>
    <row r="7" spans="1:23" s="6" customFormat="1" ht="15.75" thickBot="1" x14ac:dyDescent="0.3">
      <c r="A7" s="130" t="s">
        <v>114</v>
      </c>
      <c r="B7" s="131"/>
      <c r="C7" s="57">
        <v>6396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J21" sqref="J21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4" t="s">
        <v>78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30" s="6" customFormat="1" x14ac:dyDescent="0.25">
      <c r="A2" s="152" t="s">
        <v>44</v>
      </c>
      <c r="B2" s="152"/>
      <c r="C2" s="126">
        <f>'Card Data'!$B$2</f>
        <v>44411</v>
      </c>
      <c r="D2" s="127"/>
      <c r="E2"/>
      <c r="O2" s="151" t="s">
        <v>49</v>
      </c>
      <c r="P2" s="151"/>
      <c r="Q2" s="151"/>
      <c r="R2" s="151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3101.59</v>
      </c>
      <c r="I4" s="1"/>
      <c r="J4" s="147" t="s">
        <v>113</v>
      </c>
      <c r="K4" s="148"/>
      <c r="L4" s="57">
        <f>'Card Data'!$C$7</f>
        <v>6396</v>
      </c>
      <c r="N4" s="132" t="s">
        <v>48</v>
      </c>
      <c r="O4" s="133"/>
      <c r="P4" s="149">
        <f>$L$4*$L$5*$H$4/$D$5/10000</f>
        <v>9.1595919566318074</v>
      </c>
    </row>
    <row r="5" spans="1:30" s="6" customFormat="1" ht="15.75" thickBot="1" x14ac:dyDescent="0.3">
      <c r="A5" s="139"/>
      <c r="B5" s="147" t="s">
        <v>46</v>
      </c>
      <c r="C5" s="148"/>
      <c r="D5" s="58">
        <f>'Card Data'!$C$4</f>
        <v>572.77</v>
      </c>
      <c r="E5" s="1"/>
      <c r="F5" s="147" t="s">
        <v>112</v>
      </c>
      <c r="G5" s="148"/>
      <c r="H5" s="57">
        <f>'Card Data'!$C$6</f>
        <v>16915</v>
      </c>
      <c r="I5" s="1"/>
      <c r="J5" s="147" t="s">
        <v>39</v>
      </c>
      <c r="K5" s="148"/>
      <c r="L5" s="59">
        <f>$H$5/$L$4</f>
        <v>2.6446216385240775</v>
      </c>
      <c r="N5" s="153"/>
      <c r="O5" s="154"/>
      <c r="P5" s="150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9"/>
      <c r="V6"/>
      <c r="W6"/>
      <c r="X6"/>
      <c r="Y6"/>
      <c r="Z6"/>
      <c r="AA6"/>
      <c r="AB6"/>
      <c r="AC6"/>
      <c r="AD6"/>
    </row>
    <row r="7" spans="1:30" ht="15.75" thickBot="1" x14ac:dyDescent="0.3">
      <c r="A7" s="139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9"/>
      <c r="B8" s="26" t="s">
        <v>51</v>
      </c>
      <c r="C8" s="61">
        <f>$P$4*C9/100</f>
        <v>2.7478775869895422</v>
      </c>
      <c r="D8" s="83">
        <f>$P$4*D9/100</f>
        <v>2.9219098341655463</v>
      </c>
      <c r="E8" s="27">
        <f t="shared" ref="E8:R8" si="0">$P$4*E9/100</f>
        <v>3.2974531043874502</v>
      </c>
      <c r="F8" s="27">
        <f t="shared" si="0"/>
        <v>4.2134123000506314</v>
      </c>
      <c r="G8" s="27">
        <f t="shared" si="0"/>
        <v>2.7478775869895422</v>
      </c>
      <c r="H8" s="27">
        <f t="shared" si="0"/>
        <v>2.9310694261221784</v>
      </c>
      <c r="I8" s="27">
        <f t="shared" si="0"/>
        <v>3.8699276016769386</v>
      </c>
      <c r="J8" s="27">
        <f t="shared" si="0"/>
        <v>4.0302204609179952</v>
      </c>
      <c r="K8" s="27">
        <f t="shared" si="0"/>
        <v>3.9386245413516772</v>
      </c>
      <c r="L8" s="27">
        <f t="shared" si="0"/>
        <v>3.9386245413516772</v>
      </c>
      <c r="M8" s="27">
        <f t="shared" si="0"/>
        <v>3.8653478056986228</v>
      </c>
      <c r="N8" s="27">
        <f t="shared" si="0"/>
        <v>5.4224784383260305</v>
      </c>
      <c r="O8" s="27">
        <f t="shared" si="0"/>
        <v>5.5415531337622443</v>
      </c>
      <c r="P8" s="27">
        <f t="shared" si="0"/>
        <v>5.5470488889362226</v>
      </c>
      <c r="Q8" s="27">
        <f t="shared" si="0"/>
        <v>8.7932082783665351</v>
      </c>
      <c r="R8" s="28">
        <f t="shared" si="0"/>
        <v>10.991510347958169</v>
      </c>
    </row>
    <row r="9" spans="1:30" x14ac:dyDescent="0.25">
      <c r="A9" s="139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9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9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9"/>
      <c r="B12" s="29" t="s">
        <v>52</v>
      </c>
      <c r="C12" s="33">
        <f t="shared" ref="C12:R12" si="2">C8-C11</f>
        <v>2.4505175869895424</v>
      </c>
      <c r="D12" s="87">
        <f t="shared" ref="D12" si="3">D8-D11</f>
        <v>2.5873798341655463</v>
      </c>
      <c r="E12" s="34">
        <f t="shared" si="2"/>
        <v>2.9629231043874502</v>
      </c>
      <c r="F12" s="34">
        <f t="shared" si="2"/>
        <v>3.6186923000506317</v>
      </c>
      <c r="G12" s="34">
        <f t="shared" ref="G12" si="4">G8-G11</f>
        <v>2.5248575869895422</v>
      </c>
      <c r="H12" s="34">
        <f>H8-H11</f>
        <v>2.7080494261221784</v>
      </c>
      <c r="I12" s="34">
        <f t="shared" si="2"/>
        <v>3.5973476016769386</v>
      </c>
      <c r="J12" s="34">
        <f t="shared" si="2"/>
        <v>3.7328604609179954</v>
      </c>
      <c r="K12" s="34">
        <f t="shared" si="2"/>
        <v>3.628874541351677</v>
      </c>
      <c r="L12" s="34">
        <f t="shared" si="2"/>
        <v>3.6710005413516771</v>
      </c>
      <c r="M12" s="34">
        <f t="shared" si="2"/>
        <v>3.5184278056986229</v>
      </c>
      <c r="N12" s="34">
        <f t="shared" si="2"/>
        <v>4.8525384383260306</v>
      </c>
      <c r="O12" s="34">
        <f t="shared" si="2"/>
        <v>5.2441931337622441</v>
      </c>
      <c r="P12" s="34">
        <f t="shared" si="2"/>
        <v>5.2496888889362223</v>
      </c>
      <c r="Q12" s="34">
        <f t="shared" si="2"/>
        <v>8.1489282783665349</v>
      </c>
      <c r="R12" s="35">
        <f t="shared" si="2"/>
        <v>10.285280347958169</v>
      </c>
    </row>
    <row r="13" spans="1:30" ht="17.25" x14ac:dyDescent="0.25">
      <c r="A13" s="139"/>
      <c r="B13" s="15" t="s">
        <v>53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9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9"/>
      <c r="B15" s="15" t="s">
        <v>54</v>
      </c>
      <c r="C15" s="39">
        <f t="shared" ref="C15:D15" si="6">C13/C12</f>
        <v>244.84623296954143</v>
      </c>
      <c r="D15" s="90">
        <f t="shared" si="6"/>
        <v>251.21939632401555</v>
      </c>
      <c r="E15" s="40">
        <f t="shared" ref="E15:R15" si="7">E13/E12</f>
        <v>236.25317814136011</v>
      </c>
      <c r="F15" s="40">
        <f t="shared" si="7"/>
        <v>262.52577484598726</v>
      </c>
      <c r="G15" s="40">
        <f t="shared" ref="G15" si="8">G13/G12</f>
        <v>198.03097116307612</v>
      </c>
      <c r="H15" s="40">
        <f t="shared" si="7"/>
        <v>295.4155829960493</v>
      </c>
      <c r="I15" s="40">
        <f t="shared" si="7"/>
        <v>264.08345959037939</v>
      </c>
      <c r="J15" s="40">
        <f t="shared" si="7"/>
        <v>267.89107454450016</v>
      </c>
      <c r="K15" s="40">
        <f t="shared" si="7"/>
        <v>275.56753164233714</v>
      </c>
      <c r="L15" s="40">
        <f t="shared" si="7"/>
        <v>272.40529897383124</v>
      </c>
      <c r="M15" s="40">
        <f t="shared" si="7"/>
        <v>284.21785388927111</v>
      </c>
      <c r="N15" s="40">
        <f t="shared" si="7"/>
        <v>247.29324976021442</v>
      </c>
      <c r="O15" s="40">
        <f t="shared" si="7"/>
        <v>228.82452445818035</v>
      </c>
      <c r="P15" s="40">
        <f t="shared" si="7"/>
        <v>247.63372220776063</v>
      </c>
      <c r="Q15" s="40">
        <f t="shared" si="7"/>
        <v>227.02371855588785</v>
      </c>
      <c r="R15" s="41">
        <f t="shared" si="7"/>
        <v>269.99750187181718</v>
      </c>
    </row>
    <row r="16" spans="1:30" ht="18" thickBot="1" x14ac:dyDescent="0.3">
      <c r="A16" s="139"/>
      <c r="B16" s="8" t="s">
        <v>40</v>
      </c>
      <c r="C16" s="36">
        <f>IFERROR(C12*365/C13,"N/A")</f>
        <v>1.490731532085305</v>
      </c>
      <c r="D16" s="91">
        <f t="shared" ref="D16:R16" si="9">IFERROR(D12*365/D13,"N/A")</f>
        <v>1.4529132914929606</v>
      </c>
      <c r="E16" s="37">
        <f t="shared" si="9"/>
        <v>1.5449527615734562</v>
      </c>
      <c r="F16" s="37">
        <f t="shared" si="9"/>
        <v>1.3903396731773479</v>
      </c>
      <c r="G16" s="37">
        <f t="shared" si="9"/>
        <v>1.8431460385023659</v>
      </c>
      <c r="H16" s="37">
        <f t="shared" si="9"/>
        <v>1.2355475506682438</v>
      </c>
      <c r="I16" s="37">
        <f t="shared" si="9"/>
        <v>1.3821388153811396</v>
      </c>
      <c r="J16" s="37">
        <f t="shared" si="9"/>
        <v>1.3624940682350684</v>
      </c>
      <c r="K16" s="37">
        <f t="shared" si="9"/>
        <v>1.3245392075933622</v>
      </c>
      <c r="L16" s="37">
        <f t="shared" si="9"/>
        <v>1.3399151975933621</v>
      </c>
      <c r="M16" s="37">
        <f t="shared" si="9"/>
        <v>1.2842261490799973</v>
      </c>
      <c r="N16" s="37">
        <f t="shared" si="9"/>
        <v>1.4759804416575011</v>
      </c>
      <c r="O16" s="37">
        <f t="shared" si="9"/>
        <v>1.5951087448526826</v>
      </c>
      <c r="P16" s="37">
        <f t="shared" si="9"/>
        <v>1.4739511111244008</v>
      </c>
      <c r="Q16" s="37">
        <f t="shared" si="9"/>
        <v>1.6077615251912352</v>
      </c>
      <c r="R16" s="38">
        <f t="shared" si="9"/>
        <v>1.3518643597424314</v>
      </c>
    </row>
    <row r="17" spans="1:30" s="6" customFormat="1" x14ac:dyDescent="0.25">
      <c r="A17" s="139"/>
      <c r="B17" s="135" t="s">
        <v>41</v>
      </c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V17"/>
      <c r="W17"/>
      <c r="X17"/>
      <c r="Y17"/>
      <c r="Z17"/>
      <c r="AA17"/>
      <c r="AB17"/>
      <c r="AC17"/>
      <c r="AD17"/>
    </row>
    <row r="18" spans="1:30" ht="15.75" x14ac:dyDescent="0.25">
      <c r="A18" s="139"/>
      <c r="B18" s="141" t="s">
        <v>43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</row>
    <row r="19" spans="1:30" ht="16.5" thickBot="1" x14ac:dyDescent="0.3">
      <c r="A19" s="140"/>
      <c r="B19" s="144" t="s">
        <v>42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/>
    </row>
    <row r="20" spans="1:30" ht="15.75" thickBot="1" x14ac:dyDescent="0.3"/>
    <row r="21" spans="1:30" ht="15.75" thickBot="1" x14ac:dyDescent="0.3">
      <c r="A21" s="138" t="s">
        <v>18</v>
      </c>
      <c r="B21" s="108" t="s">
        <v>33</v>
      </c>
      <c r="C21" s="60">
        <f>1-2/$L$5</f>
        <v>0.24374815252734261</v>
      </c>
      <c r="D21" s="92"/>
    </row>
    <row r="22" spans="1:30" ht="15.75" customHeight="1" thickBot="1" x14ac:dyDescent="0.3">
      <c r="A22" s="139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9"/>
      <c r="B23" s="42" t="s">
        <v>35</v>
      </c>
      <c r="C23" s="43">
        <f t="shared" ref="C23:R23" si="11">C$8*(1-$C$21)</f>
        <v>2.078087501789549</v>
      </c>
      <c r="D23" s="93">
        <f t="shared" si="11"/>
        <v>2.2096997102362201</v>
      </c>
      <c r="E23" s="44">
        <f t="shared" si="11"/>
        <v>2.4937050021474585</v>
      </c>
      <c r="F23" s="44">
        <f t="shared" si="11"/>
        <v>3.1864008360773086</v>
      </c>
      <c r="G23" s="44">
        <f t="shared" si="11"/>
        <v>2.078087501789549</v>
      </c>
      <c r="H23" s="44">
        <f t="shared" si="11"/>
        <v>2.2166266685755192</v>
      </c>
      <c r="I23" s="44">
        <f t="shared" si="11"/>
        <v>2.9266398983536148</v>
      </c>
      <c r="J23" s="44">
        <f t="shared" si="11"/>
        <v>3.0478616692913385</v>
      </c>
      <c r="K23" s="44">
        <f t="shared" si="11"/>
        <v>2.9785920858983537</v>
      </c>
      <c r="L23" s="44">
        <f t="shared" si="11"/>
        <v>2.9785920858983537</v>
      </c>
      <c r="M23" s="44">
        <f t="shared" si="11"/>
        <v>2.923176419183966</v>
      </c>
      <c r="N23" s="44">
        <f t="shared" si="11"/>
        <v>4.1007593368647104</v>
      </c>
      <c r="O23" s="44">
        <f t="shared" si="11"/>
        <v>4.1908097952755909</v>
      </c>
      <c r="P23" s="44">
        <f t="shared" si="11"/>
        <v>4.1949659702791697</v>
      </c>
      <c r="Q23" s="44">
        <f t="shared" si="11"/>
        <v>6.6498800057265575</v>
      </c>
      <c r="R23" s="45">
        <f t="shared" si="11"/>
        <v>8.3123500071581962</v>
      </c>
    </row>
    <row r="24" spans="1:30" x14ac:dyDescent="0.25">
      <c r="A24" s="139"/>
      <c r="B24" s="22" t="s">
        <v>17</v>
      </c>
      <c r="C24" s="50">
        <f t="shared" ref="C24:R24" si="12">C23-C$11</f>
        <v>1.7807275017895492</v>
      </c>
      <c r="D24" s="94">
        <f t="shared" ref="D24" si="13">D23-D$11</f>
        <v>1.8751697102362201</v>
      </c>
      <c r="E24" s="51">
        <f t="shared" si="12"/>
        <v>2.1591750021474585</v>
      </c>
      <c r="F24" s="51">
        <f t="shared" si="12"/>
        <v>2.5916808360773089</v>
      </c>
      <c r="G24" s="51">
        <f t="shared" ref="G24" si="14">G23-G$11</f>
        <v>1.855067501789549</v>
      </c>
      <c r="H24" s="51">
        <f t="shared" si="12"/>
        <v>1.9936066685755192</v>
      </c>
      <c r="I24" s="51">
        <f t="shared" si="12"/>
        <v>2.6540598983536148</v>
      </c>
      <c r="J24" s="51">
        <f t="shared" si="12"/>
        <v>2.7505016692913387</v>
      </c>
      <c r="K24" s="51">
        <f t="shared" si="12"/>
        <v>2.6688420858983539</v>
      </c>
      <c r="L24" s="51">
        <f t="shared" si="12"/>
        <v>2.7109680858983536</v>
      </c>
      <c r="M24" s="51">
        <f t="shared" si="12"/>
        <v>2.5762564191839661</v>
      </c>
      <c r="N24" s="51">
        <f t="shared" si="12"/>
        <v>3.5308193368647105</v>
      </c>
      <c r="O24" s="51">
        <f t="shared" si="12"/>
        <v>3.8934497952755911</v>
      </c>
      <c r="P24" s="51">
        <f t="shared" si="12"/>
        <v>3.8976059702791699</v>
      </c>
      <c r="Q24" s="51">
        <f t="shared" si="12"/>
        <v>6.0056000057265573</v>
      </c>
      <c r="R24" s="52">
        <f t="shared" si="12"/>
        <v>7.6061200071581965</v>
      </c>
    </row>
    <row r="25" spans="1:30" x14ac:dyDescent="0.25">
      <c r="A25" s="139"/>
      <c r="B25" s="46" t="s">
        <v>15</v>
      </c>
      <c r="C25" s="47">
        <f t="shared" ref="C25:R25" si="15">IF(C24&gt;0,C$13/C24,"N/A")</f>
        <v>336.94094093398769</v>
      </c>
      <c r="D25" s="95">
        <f t="shared" ref="D25" si="16">IF(D24&gt;0,D$13/D24,"N/A")</f>
        <v>346.63529196944938</v>
      </c>
      <c r="E25" s="48">
        <f t="shared" si="15"/>
        <v>324.1978993383114</v>
      </c>
      <c r="F25" s="48">
        <f t="shared" si="15"/>
        <v>366.55748145203393</v>
      </c>
      <c r="G25" s="48">
        <f t="shared" ref="G25" si="17">IF(G24&gt;0,G$13/G24,"N/A")</f>
        <v>269.53197094858234</v>
      </c>
      <c r="H25" s="48">
        <f t="shared" si="15"/>
        <v>401.2827668617399</v>
      </c>
      <c r="I25" s="48">
        <f t="shared" si="15"/>
        <v>357.94218532494716</v>
      </c>
      <c r="J25" s="48">
        <f t="shared" si="15"/>
        <v>363.57003930037536</v>
      </c>
      <c r="K25" s="48">
        <f t="shared" si="15"/>
        <v>374.69433102985255</v>
      </c>
      <c r="L25" s="48">
        <f t="shared" si="15"/>
        <v>368.87191892877729</v>
      </c>
      <c r="M25" s="48">
        <f t="shared" si="15"/>
        <v>388.1601196812357</v>
      </c>
      <c r="N25" s="48">
        <f t="shared" si="15"/>
        <v>339.8644579378489</v>
      </c>
      <c r="O25" s="48">
        <f t="shared" si="15"/>
        <v>308.20995854527519</v>
      </c>
      <c r="P25" s="48">
        <f t="shared" si="15"/>
        <v>333.5380769408269</v>
      </c>
      <c r="Q25" s="48">
        <f t="shared" si="15"/>
        <v>308.04582360396262</v>
      </c>
      <c r="R25" s="49">
        <f t="shared" si="15"/>
        <v>365.10073432795394</v>
      </c>
    </row>
    <row r="26" spans="1:30" ht="15.75" thickBot="1" x14ac:dyDescent="0.3">
      <c r="A26" s="139"/>
      <c r="B26" s="53" t="s">
        <v>16</v>
      </c>
      <c r="C26" s="54">
        <f>IFERROR(C24*365/C$13,"N/A")</f>
        <v>1.0832758969219758</v>
      </c>
      <c r="D26" s="96">
        <f t="shared" ref="D26:R26" si="18">IFERROR(D24*365/D$13,"N/A")</f>
        <v>1.0529799142095697</v>
      </c>
      <c r="E26" s="55">
        <f t="shared" si="18"/>
        <v>1.1258555368340319</v>
      </c>
      <c r="F26" s="55">
        <f t="shared" si="18"/>
        <v>0.99575105807180819</v>
      </c>
      <c r="G26" s="55">
        <f t="shared" si="18"/>
        <v>1.3541992763063708</v>
      </c>
      <c r="H26" s="55">
        <f t="shared" si="18"/>
        <v>0.9095830425375806</v>
      </c>
      <c r="I26" s="55">
        <f t="shared" si="18"/>
        <v>1.019717750420073</v>
      </c>
      <c r="J26" s="55">
        <f t="shared" si="18"/>
        <v>1.0039331092913386</v>
      </c>
      <c r="K26" s="55">
        <f t="shared" si="18"/>
        <v>0.97412736135289912</v>
      </c>
      <c r="L26" s="55">
        <f t="shared" si="18"/>
        <v>0.98950335135289902</v>
      </c>
      <c r="M26" s="55">
        <f t="shared" si="18"/>
        <v>0.94033359300214758</v>
      </c>
      <c r="N26" s="55">
        <f t="shared" si="18"/>
        <v>1.0739575482963495</v>
      </c>
      <c r="O26" s="55">
        <f t="shared" si="18"/>
        <v>1.1842576460629923</v>
      </c>
      <c r="P26" s="55">
        <f t="shared" si="18"/>
        <v>1.094327830116844</v>
      </c>
      <c r="Q26" s="55">
        <f t="shared" si="18"/>
        <v>1.184888649778483</v>
      </c>
      <c r="R26" s="56">
        <f t="shared" si="18"/>
        <v>0.9997240916862592</v>
      </c>
    </row>
    <row r="27" spans="1:30" ht="108.75" customHeight="1" thickBot="1" x14ac:dyDescent="0.3">
      <c r="A27" s="140"/>
      <c r="B27" s="155" t="s">
        <v>38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7"/>
    </row>
    <row r="28" spans="1:30" ht="15.75" thickBot="1" x14ac:dyDescent="0.3"/>
    <row r="29" spans="1:30" ht="15.75" thickBot="1" x14ac:dyDescent="0.3">
      <c r="A29" s="138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9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9"/>
      <c r="B31" s="42" t="s">
        <v>35</v>
      </c>
      <c r="C31" s="43">
        <f t="shared" ref="C31:R31" si="20">C$8*(1-$C$29)</f>
        <v>0.16233013503212257</v>
      </c>
      <c r="D31" s="93">
        <f t="shared" si="20"/>
        <v>0.17261104358415699</v>
      </c>
      <c r="E31" s="44">
        <f t="shared" si="20"/>
        <v>0.19479616203854705</v>
      </c>
      <c r="F31" s="44">
        <f t="shared" si="20"/>
        <v>0.24890620704925462</v>
      </c>
      <c r="G31" s="44">
        <f t="shared" si="20"/>
        <v>0.16233013503212257</v>
      </c>
      <c r="H31" s="44">
        <f t="shared" si="20"/>
        <v>0.17315214403426407</v>
      </c>
      <c r="I31" s="44">
        <f t="shared" si="20"/>
        <v>0.22861494017023928</v>
      </c>
      <c r="J31" s="44">
        <f t="shared" si="20"/>
        <v>0.23808419804711312</v>
      </c>
      <c r="K31" s="44">
        <f t="shared" si="20"/>
        <v>0.23267319354604235</v>
      </c>
      <c r="L31" s="44">
        <f t="shared" si="20"/>
        <v>0.23267319354604235</v>
      </c>
      <c r="M31" s="44">
        <f t="shared" si="20"/>
        <v>0.22834438994518574</v>
      </c>
      <c r="N31" s="44">
        <f t="shared" si="20"/>
        <v>0.32033146646338856</v>
      </c>
      <c r="O31" s="44">
        <f t="shared" si="20"/>
        <v>0.32736577231478059</v>
      </c>
      <c r="P31" s="44">
        <f t="shared" si="20"/>
        <v>0.32769043258484476</v>
      </c>
      <c r="Q31" s="44">
        <f t="shared" si="20"/>
        <v>0.51945643210279224</v>
      </c>
      <c r="R31" s="45">
        <f t="shared" si="20"/>
        <v>0.64932054012849028</v>
      </c>
    </row>
    <row r="32" spans="1:30" x14ac:dyDescent="0.25">
      <c r="A32" s="139"/>
      <c r="B32" s="22" t="s">
        <v>17</v>
      </c>
      <c r="C32" s="50">
        <f t="shared" ref="C32:R32" si="21">C31-C$11</f>
        <v>-0.13502986496787739</v>
      </c>
      <c r="D32" s="94">
        <f t="shared" ref="D32" si="22">D31-D$11</f>
        <v>-0.16191895641584306</v>
      </c>
      <c r="E32" s="51">
        <f t="shared" si="21"/>
        <v>-0.139733837961453</v>
      </c>
      <c r="F32" s="51">
        <f t="shared" si="21"/>
        <v>-0.34581379295074532</v>
      </c>
      <c r="G32" s="51">
        <f t="shared" ref="G32" si="23">G31-G$11</f>
        <v>-6.0689864967877427E-2</v>
      </c>
      <c r="H32" s="51">
        <f t="shared" si="21"/>
        <v>-4.9867855965735924E-2</v>
      </c>
      <c r="I32" s="51">
        <f t="shared" si="21"/>
        <v>-4.3965059829760705E-2</v>
      </c>
      <c r="J32" s="51">
        <f t="shared" si="21"/>
        <v>-5.9275801952886842E-2</v>
      </c>
      <c r="K32" s="51">
        <f t="shared" si="21"/>
        <v>-7.7076806453957619E-2</v>
      </c>
      <c r="L32" s="51">
        <f t="shared" si="21"/>
        <v>-3.4950806453957622E-2</v>
      </c>
      <c r="M32" s="51">
        <f t="shared" si="21"/>
        <v>-0.11857561005481421</v>
      </c>
      <c r="N32" s="51">
        <f t="shared" si="21"/>
        <v>-0.24960853353661133</v>
      </c>
      <c r="O32" s="51">
        <f t="shared" si="21"/>
        <v>3.0005772314780632E-2</v>
      </c>
      <c r="P32" s="51">
        <f t="shared" si="21"/>
        <v>3.0330432584844802E-2</v>
      </c>
      <c r="Q32" s="51">
        <f t="shared" si="21"/>
        <v>-0.12482356789720772</v>
      </c>
      <c r="R32" s="52">
        <f t="shared" si="21"/>
        <v>-5.6909459871509638E-2</v>
      </c>
    </row>
    <row r="33" spans="1:18" x14ac:dyDescent="0.25">
      <c r="A33" s="139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39992.305060879517</v>
      </c>
      <c r="P33" s="48">
        <f t="shared" si="24"/>
        <v>42861.241637864754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9"/>
      <c r="B34" s="53" t="s">
        <v>16</v>
      </c>
      <c r="C34" s="54">
        <f>IFERROR(C32*365/C$13,"N/A")</f>
        <v>-8.2143167855458749E-2</v>
      </c>
      <c r="D34" s="96">
        <f t="shared" ref="D34:R34" si="27">IFERROR(D32*365/D$13,"N/A")</f>
        <v>-9.0923721679665725E-2</v>
      </c>
      <c r="E34" s="55">
        <f t="shared" si="27"/>
        <v>-7.2861215508471924E-2</v>
      </c>
      <c r="F34" s="55">
        <f t="shared" si="27"/>
        <v>-0.13286529939686531</v>
      </c>
      <c r="G34" s="55">
        <f t="shared" si="27"/>
        <v>-4.4303601426550522E-2</v>
      </c>
      <c r="H34" s="55">
        <f t="shared" si="27"/>
        <v>-2.2752209284367018E-2</v>
      </c>
      <c r="I34" s="55">
        <f t="shared" si="27"/>
        <v>-1.6891838776697535E-2</v>
      </c>
      <c r="J34" s="55">
        <f t="shared" si="27"/>
        <v>-2.1635667712803699E-2</v>
      </c>
      <c r="K34" s="55">
        <f t="shared" si="27"/>
        <v>-2.8133034355694531E-2</v>
      </c>
      <c r="L34" s="55">
        <f t="shared" si="27"/>
        <v>-1.2757044355694531E-2</v>
      </c>
      <c r="M34" s="55">
        <f t="shared" si="27"/>
        <v>-4.3280097670007185E-2</v>
      </c>
      <c r="N34" s="55">
        <f t="shared" si="27"/>
        <v>-7.5922595617385943E-2</v>
      </c>
      <c r="O34" s="55">
        <f t="shared" si="27"/>
        <v>9.1267557457457744E-3</v>
      </c>
      <c r="P34" s="55">
        <f t="shared" si="27"/>
        <v>8.5158522257448872E-3</v>
      </c>
      <c r="Q34" s="55">
        <f t="shared" si="27"/>
        <v>-2.4627352585124766E-2</v>
      </c>
      <c r="R34" s="56">
        <f t="shared" si="27"/>
        <v>-7.4799974263957568E-3</v>
      </c>
    </row>
    <row r="35" spans="1:18" ht="80.25" customHeight="1" thickBot="1" x14ac:dyDescent="0.3">
      <c r="A35" s="140"/>
      <c r="B35" s="155" t="s">
        <v>47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7"/>
    </row>
    <row r="36" spans="1:18" ht="15.75" thickBot="1" x14ac:dyDescent="0.3"/>
    <row r="37" spans="1:18" ht="15.75" thickBot="1" x14ac:dyDescent="0.3">
      <c r="A37" s="138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9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9"/>
      <c r="B39" s="42" t="s">
        <v>35</v>
      </c>
      <c r="C39" s="43">
        <f t="shared" ref="C39:R39" si="29">C$8*(1-$C$37)</f>
        <v>0.94855560832023345</v>
      </c>
      <c r="D39" s="93">
        <f t="shared" si="29"/>
        <v>1.0086307968471815</v>
      </c>
      <c r="E39" s="44">
        <f t="shared" si="29"/>
        <v>1.1382667299842799</v>
      </c>
      <c r="F39" s="44">
        <f t="shared" si="29"/>
        <v>1.4544519327576912</v>
      </c>
      <c r="G39" s="44">
        <f t="shared" si="29"/>
        <v>0.94855560832023345</v>
      </c>
      <c r="H39" s="44">
        <f t="shared" si="29"/>
        <v>1.0117926488749156</v>
      </c>
      <c r="I39" s="44">
        <f t="shared" si="29"/>
        <v>1.335882481717662</v>
      </c>
      <c r="J39" s="44">
        <f t="shared" si="29"/>
        <v>1.391214892203009</v>
      </c>
      <c r="K39" s="44">
        <f t="shared" si="29"/>
        <v>1.3595963719256678</v>
      </c>
      <c r="L39" s="44">
        <f t="shared" si="29"/>
        <v>1.3595963719256678</v>
      </c>
      <c r="M39" s="44">
        <f t="shared" si="29"/>
        <v>1.3343015557037952</v>
      </c>
      <c r="N39" s="44">
        <f t="shared" si="29"/>
        <v>1.8718164004185942</v>
      </c>
      <c r="O39" s="44">
        <f t="shared" si="29"/>
        <v>1.9129204767791377</v>
      </c>
      <c r="P39" s="44">
        <f t="shared" si="29"/>
        <v>1.9148175879957778</v>
      </c>
      <c r="Q39" s="44">
        <f t="shared" si="29"/>
        <v>3.035377946624747</v>
      </c>
      <c r="R39" s="45">
        <f t="shared" si="29"/>
        <v>3.7942224332809338</v>
      </c>
    </row>
    <row r="40" spans="1:18" x14ac:dyDescent="0.25">
      <c r="A40" s="139"/>
      <c r="B40" s="22" t="s">
        <v>17</v>
      </c>
      <c r="C40" s="50">
        <f>C39-C$11</f>
        <v>0.65119560832023349</v>
      </c>
      <c r="D40" s="94">
        <f>D39-D$11</f>
        <v>0.67410079684718149</v>
      </c>
      <c r="E40" s="51">
        <f>E39-E$11</f>
        <v>0.80373672998427992</v>
      </c>
      <c r="F40" s="51">
        <f t="shared" ref="F40:G40" si="30">F39-F$11</f>
        <v>0.85973193275769133</v>
      </c>
      <c r="G40" s="51">
        <f t="shared" si="30"/>
        <v>0.72553560832023345</v>
      </c>
      <c r="H40" s="51">
        <f t="shared" ref="H40" si="31">H39-H$11</f>
        <v>0.78877264887491561</v>
      </c>
      <c r="I40" s="51">
        <f t="shared" ref="I40" si="32">I39-I$11</f>
        <v>1.063302481717662</v>
      </c>
      <c r="J40" s="51">
        <f t="shared" ref="J40" si="33">J39-J$11</f>
        <v>1.0938548922030091</v>
      </c>
      <c r="K40" s="51">
        <f t="shared" ref="K40" si="34">K39-K$11</f>
        <v>1.0498463719256679</v>
      </c>
      <c r="L40" s="51">
        <f t="shared" ref="L40" si="35">L39-L$11</f>
        <v>1.0919723719256678</v>
      </c>
      <c r="M40" s="51">
        <f t="shared" ref="M40" si="36">M39-M$11</f>
        <v>0.98738155570379527</v>
      </c>
      <c r="N40" s="51">
        <f t="shared" ref="N40" si="37">N39-N$11</f>
        <v>1.3018764004185943</v>
      </c>
      <c r="O40" s="51">
        <f t="shared" ref="O40" si="38">O39-O$11</f>
        <v>1.6155604767791378</v>
      </c>
      <c r="P40" s="51">
        <f t="shared" ref="P40" si="39">P39-P$11</f>
        <v>1.6174575879957778</v>
      </c>
      <c r="Q40" s="51">
        <f t="shared" ref="Q40" si="40">Q39-Q$11</f>
        <v>2.3910979466247468</v>
      </c>
      <c r="R40" s="52">
        <f>R39-R$11</f>
        <v>3.0879924332809336</v>
      </c>
    </row>
    <row r="41" spans="1:18" x14ac:dyDescent="0.25">
      <c r="A41" s="139"/>
      <c r="B41" s="46" t="s">
        <v>15</v>
      </c>
      <c r="C41" s="47">
        <f>IF(C40&gt;0,C$13/C40,"N/A")</f>
        <v>921.38213515859979</v>
      </c>
      <c r="D41" s="95">
        <f>IF(D40&gt;0,D$13/D40,"N/A")</f>
        <v>964.2474879722696</v>
      </c>
      <c r="E41" s="48">
        <f>IF(E40&gt;0,E$13/E40,"N/A")</f>
        <v>870.9319530708658</v>
      </c>
      <c r="F41" s="48">
        <f t="shared" ref="F41:G41" si="41">IF(F40&gt;0,F$13/F40,"N/A")</f>
        <v>1104.9955966539048</v>
      </c>
      <c r="G41" s="48">
        <f t="shared" si="41"/>
        <v>689.14605191825729</v>
      </c>
      <c r="H41" s="48">
        <f t="shared" ref="H41" si="42">IF(H40&gt;0,H$13/H40,"N/A")</f>
        <v>1014.2339508616315</v>
      </c>
      <c r="I41" s="48">
        <f t="shared" ref="I41" si="43">IF(I40&gt;0,I$13/I40,"N/A")</f>
        <v>893.44285030292338</v>
      </c>
      <c r="J41" s="48">
        <f t="shared" ref="J41" si="44">IF(J40&gt;0,J$13/J40,"N/A")</f>
        <v>914.19804137458618</v>
      </c>
      <c r="K41" s="48">
        <f t="shared" ref="K41" si="45">IF(K40&gt;0,K$13/K40,"N/A")</f>
        <v>952.52031796401047</v>
      </c>
      <c r="L41" s="48">
        <f t="shared" ref="L41" si="46">IF(L40&gt;0,L$13/L40,"N/A")</f>
        <v>915.77408523305712</v>
      </c>
      <c r="M41" s="48">
        <f t="shared" ref="M41" si="47">IF(M40&gt;0,M$13/M40,"N/A")</f>
        <v>1012.7797042828195</v>
      </c>
      <c r="N41" s="48">
        <f t="shared" ref="N41" si="48">IF(N40&gt;0,N$13/N40,"N/A")</f>
        <v>921.74648807994538</v>
      </c>
      <c r="O41" s="48">
        <f t="shared" ref="O41" si="49">IF(O40&gt;0,O$13/O40,"N/A")</f>
        <v>742.7762793457166</v>
      </c>
      <c r="P41" s="48">
        <f t="shared" ref="P41" si="50">IF(P40&gt;0,P$13/P40,"N/A")</f>
        <v>803.73050251713528</v>
      </c>
      <c r="Q41" s="48">
        <f t="shared" ref="Q41" si="51">IF(Q40&gt;0,Q$13/Q40,"N/A")</f>
        <v>773.7031444535528</v>
      </c>
      <c r="R41" s="49">
        <f>IF(R40&gt;0,R$13/R40,"N/A")</f>
        <v>899.28976835266724</v>
      </c>
    </row>
    <row r="42" spans="1:18" ht="15.75" thickBot="1" x14ac:dyDescent="0.3">
      <c r="A42" s="139"/>
      <c r="B42" s="53" t="s">
        <v>16</v>
      </c>
      <c r="C42" s="12">
        <f>IFERROR(C40*365/C$13,"N/A")</f>
        <v>0.39614399506147535</v>
      </c>
      <c r="D42" s="97">
        <f t="shared" ref="D42:R42" si="52">IFERROR(D40*365/D$13,"N/A")</f>
        <v>0.37853352438341731</v>
      </c>
      <c r="E42" s="13">
        <f t="shared" si="52"/>
        <v>0.4190912949203745</v>
      </c>
      <c r="F42" s="13">
        <f t="shared" si="52"/>
        <v>0.33031805837532352</v>
      </c>
      <c r="G42" s="13">
        <f t="shared" si="52"/>
        <v>0.52964099407377041</v>
      </c>
      <c r="H42" s="13">
        <f t="shared" si="52"/>
        <v>0.35987752104918025</v>
      </c>
      <c r="I42" s="13">
        <f t="shared" si="52"/>
        <v>0.408532006133628</v>
      </c>
      <c r="J42" s="13">
        <f t="shared" si="52"/>
        <v>0.39925703565409831</v>
      </c>
      <c r="K42" s="13">
        <f t="shared" si="52"/>
        <v>0.38319392575286876</v>
      </c>
      <c r="L42" s="13">
        <f t="shared" si="52"/>
        <v>0.39856991575286871</v>
      </c>
      <c r="M42" s="13">
        <f t="shared" si="52"/>
        <v>0.36039426783188527</v>
      </c>
      <c r="N42" s="13">
        <f t="shared" si="52"/>
        <v>0.39598740512732244</v>
      </c>
      <c r="O42" s="13">
        <f t="shared" si="52"/>
        <v>0.49139964502032107</v>
      </c>
      <c r="P42" s="13">
        <f t="shared" si="52"/>
        <v>0.45413232278342996</v>
      </c>
      <c r="Q42" s="13">
        <f t="shared" si="52"/>
        <v>0.4717571624421798</v>
      </c>
      <c r="R42" s="14">
        <f t="shared" si="52"/>
        <v>0.40587585097138668</v>
      </c>
    </row>
    <row r="43" spans="1:18" ht="74.25" customHeight="1" thickBot="1" x14ac:dyDescent="0.3">
      <c r="A43" s="140"/>
      <c r="B43" s="155" t="s">
        <v>37</v>
      </c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7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S21" sqref="S21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4" t="s">
        <v>75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20" x14ac:dyDescent="0.25">
      <c r="A2" s="152" t="s">
        <v>44</v>
      </c>
      <c r="B2" s="152"/>
      <c r="C2" s="126">
        <f>'Card Data'!$B$2</f>
        <v>44411</v>
      </c>
      <c r="D2" s="127"/>
      <c r="O2" s="151" t="s">
        <v>49</v>
      </c>
      <c r="P2" s="151"/>
      <c r="Q2" s="151"/>
      <c r="R2" s="151"/>
    </row>
    <row r="3" spans="1:20" ht="15.75" thickBot="1" x14ac:dyDescent="0.3"/>
    <row r="4" spans="1:2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3101.59</v>
      </c>
      <c r="I4" s="1"/>
      <c r="J4" s="147" t="s">
        <v>113</v>
      </c>
      <c r="K4" s="148"/>
      <c r="L4" s="57">
        <f>'Card Data'!$C$7</f>
        <v>6396</v>
      </c>
      <c r="N4" s="132" t="s">
        <v>48</v>
      </c>
      <c r="O4" s="133"/>
      <c r="P4" s="149">
        <f>$L$4*$L$5*$H$4/$D$5/10000</f>
        <v>9.1595919566318074</v>
      </c>
    </row>
    <row r="5" spans="1:20" ht="15.75" thickBot="1" x14ac:dyDescent="0.3">
      <c r="A5" s="139"/>
      <c r="B5" s="147" t="s">
        <v>46</v>
      </c>
      <c r="C5" s="148"/>
      <c r="D5" s="58">
        <f>'Card Data'!$C$4</f>
        <v>572.77</v>
      </c>
      <c r="E5" s="1"/>
      <c r="F5" s="147" t="s">
        <v>112</v>
      </c>
      <c r="G5" s="148"/>
      <c r="H5" s="57">
        <f>'Card Data'!$C$6</f>
        <v>16915</v>
      </c>
      <c r="I5" s="1"/>
      <c r="J5" s="147" t="s">
        <v>39</v>
      </c>
      <c r="K5" s="148"/>
      <c r="L5" s="59">
        <f>$H$5/$L$4</f>
        <v>2.6446216385240775</v>
      </c>
      <c r="N5" s="153"/>
      <c r="O5" s="154"/>
      <c r="P5" s="150"/>
    </row>
    <row r="6" spans="1:20" ht="15.75" thickBot="1" x14ac:dyDescent="0.3">
      <c r="A6" s="139"/>
    </row>
    <row r="7" spans="1:20" ht="15.75" thickBot="1" x14ac:dyDescent="0.3">
      <c r="A7" s="139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9"/>
      <c r="B8" s="26" t="s">
        <v>51</v>
      </c>
      <c r="C8" s="61">
        <f t="shared" ref="C8:R8" si="0">$P$4*C9/100</f>
        <v>2.7845159548160696</v>
      </c>
      <c r="D8" s="83">
        <f t="shared" si="0"/>
        <v>2.7845159548160696</v>
      </c>
      <c r="E8" s="27">
        <f t="shared" si="0"/>
        <v>2.7936755467727012</v>
      </c>
      <c r="F8" s="27">
        <f t="shared" si="0"/>
        <v>2.8669522824257556</v>
      </c>
      <c r="G8" s="27">
        <f t="shared" si="0"/>
        <v>2.8211543226425966</v>
      </c>
      <c r="H8" s="27">
        <f t="shared" si="0"/>
        <v>2.3814939087242699</v>
      </c>
      <c r="I8" s="27">
        <f t="shared" si="0"/>
        <v>3.3890490239537687</v>
      </c>
      <c r="J8" s="27">
        <f t="shared" si="0"/>
        <v>4.9003816967980169</v>
      </c>
      <c r="K8" s="27">
        <f t="shared" si="0"/>
        <v>5.0102968002775983</v>
      </c>
      <c r="L8" s="27">
        <f t="shared" si="0"/>
        <v>4.3050082196169495</v>
      </c>
      <c r="M8" s="27">
        <f t="shared" si="0"/>
        <v>5.807181300504566</v>
      </c>
      <c r="N8" s="27">
        <f t="shared" si="0"/>
        <v>5.8987772200708841</v>
      </c>
      <c r="O8" s="27">
        <f t="shared" si="0"/>
        <v>5.8621388522443567</v>
      </c>
      <c r="P8" s="27">
        <f t="shared" si="0"/>
        <v>3.5356024952598779</v>
      </c>
      <c r="Q8" s="27">
        <f t="shared" si="0"/>
        <v>4.3050082196169495</v>
      </c>
      <c r="R8" s="28">
        <f t="shared" si="0"/>
        <v>8.2894307207517848</v>
      </c>
    </row>
    <row r="9" spans="1:20" x14ac:dyDescent="0.25">
      <c r="A9" s="139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9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9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9"/>
      <c r="B12" s="29" t="s">
        <v>52</v>
      </c>
      <c r="C12" s="33">
        <f t="shared" ref="C12:R12" si="2">C8-C11</f>
        <v>2.4871559548160698</v>
      </c>
      <c r="D12" s="87">
        <f t="shared" si="2"/>
        <v>2.4623759548160695</v>
      </c>
      <c r="E12" s="34">
        <f t="shared" si="2"/>
        <v>2.4715355467727012</v>
      </c>
      <c r="F12" s="34">
        <f t="shared" si="2"/>
        <v>2.5448122824257555</v>
      </c>
      <c r="G12" s="34">
        <f t="shared" si="2"/>
        <v>2.4990143226425965</v>
      </c>
      <c r="H12" s="34">
        <f>H8-H11</f>
        <v>2.20803390872427</v>
      </c>
      <c r="I12" s="34">
        <f t="shared" si="2"/>
        <v>3.1412490239537689</v>
      </c>
      <c r="J12" s="34">
        <f t="shared" si="2"/>
        <v>4.5039016967980174</v>
      </c>
      <c r="K12" s="34">
        <f t="shared" si="2"/>
        <v>4.6633768002775984</v>
      </c>
      <c r="L12" s="34">
        <f t="shared" si="2"/>
        <v>3.8837482196169493</v>
      </c>
      <c r="M12" s="34">
        <f t="shared" si="2"/>
        <v>5.373531300504566</v>
      </c>
      <c r="N12" s="34">
        <f t="shared" si="2"/>
        <v>5.4279572200708843</v>
      </c>
      <c r="O12" s="34">
        <f t="shared" si="2"/>
        <v>5.3169788522443566</v>
      </c>
      <c r="P12" s="34">
        <f t="shared" si="2"/>
        <v>3.0028324952598782</v>
      </c>
      <c r="Q12" s="34">
        <f t="shared" si="2"/>
        <v>3.7598482196169494</v>
      </c>
      <c r="R12" s="35">
        <f t="shared" si="2"/>
        <v>7.7442707207517847</v>
      </c>
    </row>
    <row r="13" spans="1:20" ht="17.25" x14ac:dyDescent="0.25">
      <c r="A13" s="139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9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9"/>
      <c r="B15" s="15" t="s">
        <v>54</v>
      </c>
      <c r="C15" s="39">
        <f t="shared" ref="C15:R15" si="4">C13/C12</f>
        <v>201.03282990027699</v>
      </c>
      <c r="D15" s="90">
        <f t="shared" si="4"/>
        <v>203.05591395256627</v>
      </c>
      <c r="E15" s="40">
        <f t="shared" si="4"/>
        <v>202.30338206257784</v>
      </c>
      <c r="F15" s="40">
        <f t="shared" si="4"/>
        <v>196.47814632653063</v>
      </c>
      <c r="G15" s="40">
        <f t="shared" si="4"/>
        <v>200.07888529077024</v>
      </c>
      <c r="H15" s="40">
        <f t="shared" si="4"/>
        <v>226.44579778617788</v>
      </c>
      <c r="I15" s="40">
        <f t="shared" si="4"/>
        <v>206.92405952007908</v>
      </c>
      <c r="J15" s="40">
        <f t="shared" si="4"/>
        <v>199.82674147613872</v>
      </c>
      <c r="K15" s="40">
        <f t="shared" si="4"/>
        <v>203.71504184338033</v>
      </c>
      <c r="L15" s="40">
        <f t="shared" si="4"/>
        <v>205.98657656517787</v>
      </c>
      <c r="M15" s="40">
        <f t="shared" si="4"/>
        <v>241.92657068507856</v>
      </c>
      <c r="N15" s="40">
        <f t="shared" si="4"/>
        <v>313.19333058004452</v>
      </c>
      <c r="O15" s="40">
        <f t="shared" si="4"/>
        <v>300.92276920090097</v>
      </c>
      <c r="P15" s="40">
        <f t="shared" si="4"/>
        <v>233.11323595471447</v>
      </c>
      <c r="Q15" s="40">
        <f t="shared" si="4"/>
        <v>226.07295570207816</v>
      </c>
      <c r="R15" s="41">
        <f t="shared" si="4"/>
        <v>271.16820624216763</v>
      </c>
    </row>
    <row r="16" spans="1:20" ht="18" thickBot="1" x14ac:dyDescent="0.3">
      <c r="A16" s="140"/>
      <c r="B16" s="8" t="s">
        <v>40</v>
      </c>
      <c r="C16" s="36">
        <f>IFERROR(C12*365/C13,"N/A")</f>
        <v>1.8156238470157309</v>
      </c>
      <c r="D16" s="91">
        <f t="shared" ref="D16:R16" si="5">IFERROR(D12*365/D13,"N/A")</f>
        <v>1.7975344470157308</v>
      </c>
      <c r="E16" s="37">
        <f t="shared" si="5"/>
        <v>1.8042209491440719</v>
      </c>
      <c r="F16" s="37">
        <f t="shared" si="5"/>
        <v>1.8577129661708016</v>
      </c>
      <c r="G16" s="37">
        <f t="shared" si="5"/>
        <v>1.8242804555290955</v>
      </c>
      <c r="H16" s="37">
        <f t="shared" si="5"/>
        <v>1.6118647533687172</v>
      </c>
      <c r="I16" s="37">
        <f t="shared" si="5"/>
        <v>1.7639321442201932</v>
      </c>
      <c r="J16" s="37">
        <f t="shared" si="5"/>
        <v>1.8265823548125293</v>
      </c>
      <c r="K16" s="37">
        <f t="shared" si="5"/>
        <v>1.7917184548434983</v>
      </c>
      <c r="L16" s="37">
        <f t="shared" si="5"/>
        <v>1.7719601252002333</v>
      </c>
      <c r="M16" s="37">
        <f t="shared" si="5"/>
        <v>1.5087222497570512</v>
      </c>
      <c r="N16" s="37">
        <f t="shared" si="5"/>
        <v>1.165414344309337</v>
      </c>
      <c r="O16" s="37">
        <f t="shared" si="5"/>
        <v>1.2129358006682438</v>
      </c>
      <c r="P16" s="37">
        <f t="shared" si="5"/>
        <v>1.5657626582426507</v>
      </c>
      <c r="Q16" s="37">
        <f t="shared" si="5"/>
        <v>1.6145230590119841</v>
      </c>
      <c r="R16" s="38">
        <f t="shared" si="5"/>
        <v>1.3460280062259053</v>
      </c>
    </row>
    <row r="17" spans="1:18" ht="15.75" thickBot="1" x14ac:dyDescent="0.3"/>
    <row r="18" spans="1:18" ht="15.75" thickBot="1" x14ac:dyDescent="0.3">
      <c r="A18" s="138" t="s">
        <v>18</v>
      </c>
      <c r="B18" s="108" t="s">
        <v>33</v>
      </c>
      <c r="C18" s="60">
        <f>1-2/$L$5</f>
        <v>0.24374815252734261</v>
      </c>
      <c r="D18" s="92"/>
    </row>
    <row r="19" spans="1:18" ht="15.75" customHeight="1" thickBot="1" x14ac:dyDescent="0.3">
      <c r="A19" s="139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9"/>
      <c r="B20" s="42" t="s">
        <v>35</v>
      </c>
      <c r="C20" s="43">
        <f t="shared" ref="C20:R20" si="7">C$8*(1-$C$18)</f>
        <v>2.1057953351467433</v>
      </c>
      <c r="D20" s="93">
        <f t="shared" si="7"/>
        <v>2.1057953351467433</v>
      </c>
      <c r="E20" s="44">
        <f t="shared" si="7"/>
        <v>2.1127222934860415</v>
      </c>
      <c r="F20" s="44">
        <f t="shared" si="7"/>
        <v>2.1681379602004296</v>
      </c>
      <c r="G20" s="44">
        <f t="shared" si="7"/>
        <v>2.1335031685039372</v>
      </c>
      <c r="H20" s="44">
        <f t="shared" si="7"/>
        <v>1.8010091682176093</v>
      </c>
      <c r="I20" s="44">
        <f t="shared" si="7"/>
        <v>2.5629745855404438</v>
      </c>
      <c r="J20" s="44">
        <f t="shared" si="7"/>
        <v>3.7059227115246958</v>
      </c>
      <c r="K20" s="44">
        <f t="shared" si="7"/>
        <v>3.7890462115962777</v>
      </c>
      <c r="L20" s="44">
        <f t="shared" si="7"/>
        <v>3.2556704194702935</v>
      </c>
      <c r="M20" s="44">
        <f t="shared" si="7"/>
        <v>4.3916915871152469</v>
      </c>
      <c r="N20" s="44">
        <f t="shared" si="7"/>
        <v>4.4609611705082326</v>
      </c>
      <c r="O20" s="44">
        <f t="shared" si="7"/>
        <v>4.4332533371510383</v>
      </c>
      <c r="P20" s="44">
        <f t="shared" si="7"/>
        <v>2.67380591896922</v>
      </c>
      <c r="Q20" s="44">
        <f t="shared" si="7"/>
        <v>3.2556704194702935</v>
      </c>
      <c r="R20" s="45">
        <f t="shared" si="7"/>
        <v>6.2688972970651395</v>
      </c>
    </row>
    <row r="21" spans="1:18" x14ac:dyDescent="0.25">
      <c r="A21" s="139"/>
      <c r="B21" s="22" t="s">
        <v>17</v>
      </c>
      <c r="C21" s="50">
        <f t="shared" ref="C21:R21" si="8">C20-C$11</f>
        <v>1.8084353351467435</v>
      </c>
      <c r="D21" s="94">
        <f t="shared" si="8"/>
        <v>1.7836553351467432</v>
      </c>
      <c r="E21" s="51">
        <f t="shared" si="8"/>
        <v>1.7905822934860414</v>
      </c>
      <c r="F21" s="51">
        <f t="shared" si="8"/>
        <v>1.8459979602004295</v>
      </c>
      <c r="G21" s="51">
        <f t="shared" si="8"/>
        <v>1.8113631685039371</v>
      </c>
      <c r="H21" s="51">
        <f t="shared" si="8"/>
        <v>1.6275491682176093</v>
      </c>
      <c r="I21" s="51">
        <f t="shared" si="8"/>
        <v>2.315174585540444</v>
      </c>
      <c r="J21" s="51">
        <f t="shared" si="8"/>
        <v>3.3094427115246958</v>
      </c>
      <c r="K21" s="51">
        <f t="shared" si="8"/>
        <v>3.4421262115962779</v>
      </c>
      <c r="L21" s="51">
        <f t="shared" si="8"/>
        <v>2.8344104194702933</v>
      </c>
      <c r="M21" s="51">
        <f t="shared" si="8"/>
        <v>3.9580415871152468</v>
      </c>
      <c r="N21" s="51">
        <f t="shared" si="8"/>
        <v>3.9901411705082328</v>
      </c>
      <c r="O21" s="51">
        <f t="shared" si="8"/>
        <v>3.8880933371510382</v>
      </c>
      <c r="P21" s="51">
        <f t="shared" si="8"/>
        <v>2.1410359189692203</v>
      </c>
      <c r="Q21" s="51">
        <f t="shared" si="8"/>
        <v>2.7105104194702934</v>
      </c>
      <c r="R21" s="52">
        <f t="shared" si="8"/>
        <v>5.7237372970651395</v>
      </c>
    </row>
    <row r="22" spans="1:18" x14ac:dyDescent="0.25">
      <c r="A22" s="139"/>
      <c r="B22" s="46" t="s">
        <v>15</v>
      </c>
      <c r="C22" s="47">
        <f t="shared" ref="C22:R22" si="9">IF(C21&gt;0,C$13/C21,"N/A")</f>
        <v>276.48210045587729</v>
      </c>
      <c r="D22" s="95">
        <f t="shared" si="9"/>
        <v>280.3232161211597</v>
      </c>
      <c r="E22" s="48">
        <f t="shared" si="9"/>
        <v>279.23877155434286</v>
      </c>
      <c r="F22" s="48">
        <f t="shared" si="9"/>
        <v>270.8562039503621</v>
      </c>
      <c r="G22" s="48">
        <f t="shared" si="9"/>
        <v>276.03520304156677</v>
      </c>
      <c r="H22" s="48">
        <f t="shared" si="9"/>
        <v>307.21038096045288</v>
      </c>
      <c r="I22" s="48">
        <f t="shared" si="9"/>
        <v>280.75636457812396</v>
      </c>
      <c r="J22" s="48">
        <f t="shared" si="9"/>
        <v>271.94911000147221</v>
      </c>
      <c r="K22" s="48">
        <f t="shared" si="9"/>
        <v>275.99220412067336</v>
      </c>
      <c r="L22" s="48">
        <f t="shared" si="9"/>
        <v>282.24564604497448</v>
      </c>
      <c r="M22" s="48">
        <f t="shared" si="9"/>
        <v>328.44526046212758</v>
      </c>
      <c r="N22" s="48">
        <f t="shared" si="9"/>
        <v>426.0500887950958</v>
      </c>
      <c r="O22" s="48">
        <f t="shared" si="9"/>
        <v>411.51275477671123</v>
      </c>
      <c r="P22" s="48">
        <f t="shared" si="9"/>
        <v>326.94453829481188</v>
      </c>
      <c r="Q22" s="48">
        <f t="shared" si="9"/>
        <v>313.59407213277302</v>
      </c>
      <c r="R22" s="49">
        <f t="shared" si="9"/>
        <v>366.89314883070898</v>
      </c>
    </row>
    <row r="23" spans="1:18" ht="15.75" thickBot="1" x14ac:dyDescent="0.3">
      <c r="A23" s="140"/>
      <c r="B23" s="53" t="s">
        <v>16</v>
      </c>
      <c r="C23" s="54">
        <f>IFERROR(C21*365/C$13,"N/A")</f>
        <v>1.3201577946571228</v>
      </c>
      <c r="D23" s="96">
        <f t="shared" ref="D23:R23" si="10">IFERROR(D21*365/D$13,"N/A")</f>
        <v>1.3020683946571225</v>
      </c>
      <c r="E23" s="55">
        <f t="shared" si="10"/>
        <v>1.3071250742448102</v>
      </c>
      <c r="F23" s="55">
        <f t="shared" si="10"/>
        <v>1.3475785109463136</v>
      </c>
      <c r="G23" s="55">
        <f t="shared" si="10"/>
        <v>1.3222951130078742</v>
      </c>
      <c r="H23" s="55">
        <f t="shared" si="10"/>
        <v>1.1881108927988548</v>
      </c>
      <c r="I23" s="55">
        <f t="shared" si="10"/>
        <v>1.3000595749573263</v>
      </c>
      <c r="J23" s="55">
        <f t="shared" si="10"/>
        <v>1.3421628774516823</v>
      </c>
      <c r="K23" s="55">
        <f t="shared" si="10"/>
        <v>1.3225011234027804</v>
      </c>
      <c r="L23" s="55">
        <f t="shared" si="10"/>
        <v>1.2931997538833213</v>
      </c>
      <c r="M23" s="55">
        <f t="shared" si="10"/>
        <v>1.1112962917669731</v>
      </c>
      <c r="N23" s="55">
        <f t="shared" si="10"/>
        <v>0.85670678072676765</v>
      </c>
      <c r="O23" s="55">
        <f t="shared" si="10"/>
        <v>0.88697129253758067</v>
      </c>
      <c r="P23" s="55">
        <f t="shared" si="10"/>
        <v>1.1163973006053791</v>
      </c>
      <c r="Q23" s="55">
        <f t="shared" si="10"/>
        <v>1.1639250624784201</v>
      </c>
      <c r="R23" s="56">
        <f t="shared" si="10"/>
        <v>0.9948400540137029</v>
      </c>
    </row>
    <row r="24" spans="1:18" ht="15.75" thickBot="1" x14ac:dyDescent="0.3"/>
    <row r="25" spans="1:18" ht="15.75" thickBot="1" x14ac:dyDescent="0.3">
      <c r="A25" s="138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9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9"/>
      <c r="B27" s="42" t="s">
        <v>35</v>
      </c>
      <c r="C27" s="43">
        <f t="shared" ref="C27:R27" si="12">C$8*(1-$C$25)</f>
        <v>0.16449453683255089</v>
      </c>
      <c r="D27" s="93">
        <f t="shared" si="12"/>
        <v>0.16449453683255089</v>
      </c>
      <c r="E27" s="44">
        <f t="shared" si="12"/>
        <v>0.16503563728265794</v>
      </c>
      <c r="F27" s="44">
        <f t="shared" si="12"/>
        <v>0.16936444088351454</v>
      </c>
      <c r="G27" s="44">
        <f t="shared" si="12"/>
        <v>0.16665893863297918</v>
      </c>
      <c r="H27" s="44">
        <f t="shared" si="12"/>
        <v>0.14068611702783956</v>
      </c>
      <c r="I27" s="44">
        <f t="shared" si="12"/>
        <v>0.20020716653961784</v>
      </c>
      <c r="J27" s="44">
        <f t="shared" si="12"/>
        <v>0.28948874080728526</v>
      </c>
      <c r="K27" s="44">
        <f t="shared" si="12"/>
        <v>0.29598194620857016</v>
      </c>
      <c r="L27" s="44">
        <f t="shared" si="12"/>
        <v>0.25431721155032538</v>
      </c>
      <c r="M27" s="44">
        <f t="shared" si="12"/>
        <v>0.34305768536788572</v>
      </c>
      <c r="N27" s="44">
        <f t="shared" si="12"/>
        <v>0.34846868986895646</v>
      </c>
      <c r="O27" s="44">
        <f t="shared" si="12"/>
        <v>0.34630428806852814</v>
      </c>
      <c r="P27" s="44">
        <f t="shared" si="12"/>
        <v>0.20886477374133106</v>
      </c>
      <c r="Q27" s="44">
        <f t="shared" si="12"/>
        <v>0.25431721155032538</v>
      </c>
      <c r="R27" s="45">
        <f t="shared" si="12"/>
        <v>0.48969590734690305</v>
      </c>
    </row>
    <row r="28" spans="1:18" x14ac:dyDescent="0.25">
      <c r="A28" s="139"/>
      <c r="B28" s="22" t="s">
        <v>17</v>
      </c>
      <c r="C28" s="50">
        <f t="shared" ref="C28:R28" si="13">C27-C$11</f>
        <v>-0.13286546316744907</v>
      </c>
      <c r="D28" s="94">
        <f t="shared" si="13"/>
        <v>-0.1576454631674491</v>
      </c>
      <c r="E28" s="51">
        <f t="shared" si="13"/>
        <v>-0.15710436271734204</v>
      </c>
      <c r="F28" s="51">
        <f t="shared" si="13"/>
        <v>-0.15277555911648544</v>
      </c>
      <c r="G28" s="51">
        <f t="shared" si="13"/>
        <v>-0.15548106136702081</v>
      </c>
      <c r="H28" s="51">
        <f t="shared" si="13"/>
        <v>-3.2773882972160412E-2</v>
      </c>
      <c r="I28" s="51">
        <f t="shared" si="13"/>
        <v>-4.7592833460382122E-2</v>
      </c>
      <c r="J28" s="51">
        <f t="shared" si="13"/>
        <v>-0.10699125919271468</v>
      </c>
      <c r="K28" s="51">
        <f t="shared" si="13"/>
        <v>-5.0938053791429794E-2</v>
      </c>
      <c r="L28" s="51">
        <f t="shared" si="13"/>
        <v>-0.16694278844967458</v>
      </c>
      <c r="M28" s="51">
        <f t="shared" si="13"/>
        <v>-9.0592314632114312E-2</v>
      </c>
      <c r="N28" s="51">
        <f t="shared" si="13"/>
        <v>-0.1223513101310435</v>
      </c>
      <c r="O28" s="51">
        <f t="shared" si="13"/>
        <v>-0.19885571193147183</v>
      </c>
      <c r="P28" s="51">
        <f t="shared" si="13"/>
        <v>-0.32390522625866891</v>
      </c>
      <c r="Q28" s="51">
        <f t="shared" si="13"/>
        <v>-0.29084278844967459</v>
      </c>
      <c r="R28" s="52">
        <f t="shared" si="13"/>
        <v>-5.546409265309693E-2</v>
      </c>
    </row>
    <row r="29" spans="1:18" x14ac:dyDescent="0.25">
      <c r="A29" s="139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0"/>
      <c r="B30" s="53" t="s">
        <v>16</v>
      </c>
      <c r="C30" s="54">
        <f>IFERROR(C28*365/C$13,"N/A")</f>
        <v>-9.6991788112237826E-2</v>
      </c>
      <c r="D30" s="96">
        <f t="shared" ref="D30:R30" si="15">IFERROR(D28*365/D$13,"N/A")</f>
        <v>-0.11508118811223784</v>
      </c>
      <c r="E30" s="55">
        <f t="shared" si="15"/>
        <v>-0.1146861847836597</v>
      </c>
      <c r="F30" s="55">
        <f t="shared" si="15"/>
        <v>-0.11152615815503436</v>
      </c>
      <c r="G30" s="55">
        <f t="shared" si="15"/>
        <v>-0.11350117479792519</v>
      </c>
      <c r="H30" s="55">
        <f t="shared" si="15"/>
        <v>-2.3924934569677102E-2</v>
      </c>
      <c r="I30" s="55">
        <f t="shared" si="15"/>
        <v>-2.6725206481599189E-2</v>
      </c>
      <c r="J30" s="55">
        <f t="shared" si="15"/>
        <v>-4.3390899561489844E-2</v>
      </c>
      <c r="K30" s="55">
        <f t="shared" si="15"/>
        <v>-1.9570936456707235E-2</v>
      </c>
      <c r="L30" s="55">
        <f t="shared" si="15"/>
        <v>-7.6167647230164032E-2</v>
      </c>
      <c r="M30" s="55">
        <f t="shared" si="15"/>
        <v>-2.5435534492862861E-2</v>
      </c>
      <c r="N30" s="55">
        <f t="shared" si="15"/>
        <v>-2.6269545998724046E-2</v>
      </c>
      <c r="O30" s="55">
        <f t="shared" si="15"/>
        <v>-4.5363959284367011E-2</v>
      </c>
      <c r="P30" s="55">
        <f t="shared" si="15"/>
        <v>-0.16889343940630594</v>
      </c>
      <c r="Q30" s="55">
        <f t="shared" si="15"/>
        <v>-0.1248913150401544</v>
      </c>
      <c r="R30" s="56">
        <f t="shared" si="15"/>
        <v>-9.6401875325620862E-3</v>
      </c>
    </row>
    <row r="31" spans="1:18" ht="15.75" thickBot="1" x14ac:dyDescent="0.3"/>
    <row r="32" spans="1:18" ht="15.75" thickBot="1" x14ac:dyDescent="0.3">
      <c r="A32" s="138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9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9"/>
      <c r="B34" s="42" t="s">
        <v>35</v>
      </c>
      <c r="C34" s="43">
        <f t="shared" ref="C34:R34" si="17">C$8*(1-$C$32)</f>
        <v>0.9612030164311699</v>
      </c>
      <c r="D34" s="93">
        <f t="shared" si="17"/>
        <v>0.9612030164311699</v>
      </c>
      <c r="E34" s="44">
        <f t="shared" si="17"/>
        <v>0.96436486845890401</v>
      </c>
      <c r="F34" s="44">
        <f t="shared" si="17"/>
        <v>0.98965968468077681</v>
      </c>
      <c r="G34" s="44">
        <f t="shared" si="17"/>
        <v>0.97385042454210624</v>
      </c>
      <c r="H34" s="44">
        <f t="shared" si="17"/>
        <v>0.82208152721086902</v>
      </c>
      <c r="I34" s="44">
        <f t="shared" si="17"/>
        <v>1.1698852502616213</v>
      </c>
      <c r="J34" s="44">
        <f t="shared" si="17"/>
        <v>1.6915908348377495</v>
      </c>
      <c r="K34" s="44">
        <f t="shared" si="17"/>
        <v>1.7295330591705589</v>
      </c>
      <c r="L34" s="44">
        <f t="shared" si="17"/>
        <v>1.4860704530350324</v>
      </c>
      <c r="M34" s="44">
        <f t="shared" si="17"/>
        <v>2.0046141855834265</v>
      </c>
      <c r="N34" s="44">
        <f t="shared" si="17"/>
        <v>2.0362327058607677</v>
      </c>
      <c r="O34" s="44">
        <f t="shared" si="17"/>
        <v>2.0235852977498312</v>
      </c>
      <c r="P34" s="44">
        <f t="shared" si="17"/>
        <v>1.2204748827053671</v>
      </c>
      <c r="Q34" s="44">
        <f t="shared" si="17"/>
        <v>1.4860704530350324</v>
      </c>
      <c r="R34" s="45">
        <f t="shared" si="17"/>
        <v>2.8614760850993703</v>
      </c>
    </row>
    <row r="35" spans="1:18" x14ac:dyDescent="0.25">
      <c r="A35" s="139"/>
      <c r="B35" s="22" t="s">
        <v>17</v>
      </c>
      <c r="C35" s="50">
        <f>C34-C$11</f>
        <v>0.66384301643116994</v>
      </c>
      <c r="D35" s="94">
        <f>D34-D$11</f>
        <v>0.63906301643116992</v>
      </c>
      <c r="E35" s="51">
        <f>E34-E$11</f>
        <v>0.64222486845890403</v>
      </c>
      <c r="F35" s="51">
        <f t="shared" ref="F35:Q35" si="18">F34-F$11</f>
        <v>0.66751968468077683</v>
      </c>
      <c r="G35" s="51">
        <f t="shared" si="18"/>
        <v>0.65171042454210626</v>
      </c>
      <c r="H35" s="51">
        <f t="shared" si="18"/>
        <v>0.64862152721086908</v>
      </c>
      <c r="I35" s="51">
        <f t="shared" si="18"/>
        <v>0.92208525026162125</v>
      </c>
      <c r="J35" s="51">
        <f t="shared" si="18"/>
        <v>1.2951108348377496</v>
      </c>
      <c r="K35" s="51">
        <f t="shared" si="18"/>
        <v>1.382613059170559</v>
      </c>
      <c r="L35" s="51">
        <f t="shared" si="18"/>
        <v>1.0648104530350324</v>
      </c>
      <c r="M35" s="51">
        <f t="shared" si="18"/>
        <v>1.5709641855834264</v>
      </c>
      <c r="N35" s="51">
        <f t="shared" si="18"/>
        <v>1.5654127058607676</v>
      </c>
      <c r="O35" s="51">
        <f t="shared" si="18"/>
        <v>1.4784252977498311</v>
      </c>
      <c r="P35" s="51">
        <f t="shared" si="18"/>
        <v>0.68770488270536712</v>
      </c>
      <c r="Q35" s="51">
        <f t="shared" si="18"/>
        <v>0.9409104530350324</v>
      </c>
      <c r="R35" s="52">
        <f>R34-R$11</f>
        <v>2.3163160850993703</v>
      </c>
    </row>
    <row r="36" spans="1:18" x14ac:dyDescent="0.25">
      <c r="A36" s="139"/>
      <c r="B36" s="46" t="s">
        <v>15</v>
      </c>
      <c r="C36" s="47">
        <f>IF(C35&gt;0,C$13/C35,"N/A")</f>
        <v>753.19011818186709</v>
      </c>
      <c r="D36" s="95">
        <f>IF(D35&gt;0,D$13/D35,"N/A")</f>
        <v>782.39545575995999</v>
      </c>
      <c r="E36" s="48">
        <f>IF(E35&gt;0,E$13/E35,"N/A")</f>
        <v>778.54350486272858</v>
      </c>
      <c r="F36" s="48">
        <f t="shared" ref="F36:Q36" si="19">IF(F35&gt;0,F$13/F35,"N/A")</f>
        <v>749.04158105706119</v>
      </c>
      <c r="G36" s="48">
        <f t="shared" si="19"/>
        <v>767.21191064467246</v>
      </c>
      <c r="H36" s="48">
        <f t="shared" si="19"/>
        <v>770.86556493128592</v>
      </c>
      <c r="I36" s="48">
        <f t="shared" si="19"/>
        <v>704.9239751048799</v>
      </c>
      <c r="J36" s="48">
        <f t="shared" si="19"/>
        <v>694.9212189339388</v>
      </c>
      <c r="K36" s="48">
        <f t="shared" si="19"/>
        <v>687.10474973374903</v>
      </c>
      <c r="L36" s="48">
        <f t="shared" si="19"/>
        <v>751.30742539177527</v>
      </c>
      <c r="M36" s="48">
        <f t="shared" si="19"/>
        <v>827.51727374179734</v>
      </c>
      <c r="N36" s="48">
        <f t="shared" si="19"/>
        <v>1085.9755984063177</v>
      </c>
      <c r="O36" s="48">
        <f t="shared" si="19"/>
        <v>1082.2325635493428</v>
      </c>
      <c r="P36" s="48">
        <f t="shared" si="19"/>
        <v>1017.8784789868948</v>
      </c>
      <c r="Q36" s="48">
        <f t="shared" si="19"/>
        <v>903.38033471539336</v>
      </c>
      <c r="R36" s="49">
        <f>IF(R35&gt;0,R$13/R35,"N/A")</f>
        <v>906.61201789733707</v>
      </c>
    </row>
    <row r="37" spans="1:18" ht="15.75" thickBot="1" x14ac:dyDescent="0.3">
      <c r="A37" s="140"/>
      <c r="B37" s="53" t="s">
        <v>16</v>
      </c>
      <c r="C37" s="12">
        <f>IFERROR(C35*365/C$13,"N/A")</f>
        <v>0.48460540199475405</v>
      </c>
      <c r="D37" s="97">
        <f t="shared" ref="D37:R37" si="20">IFERROR(D35*365/D$13,"N/A")</f>
        <v>0.46651600199475407</v>
      </c>
      <c r="E37" s="13">
        <f t="shared" si="20"/>
        <v>0.46882415397499994</v>
      </c>
      <c r="F37" s="13">
        <f t="shared" si="20"/>
        <v>0.48728936981696713</v>
      </c>
      <c r="G37" s="13">
        <f t="shared" si="20"/>
        <v>0.47574860991573759</v>
      </c>
      <c r="H37" s="13">
        <f t="shared" si="20"/>
        <v>0.47349371486393443</v>
      </c>
      <c r="I37" s="13">
        <f t="shared" si="20"/>
        <v>0.51778633283921816</v>
      </c>
      <c r="J37" s="13">
        <f t="shared" si="20"/>
        <v>0.52523939412864284</v>
      </c>
      <c r="K37" s="13">
        <f t="shared" si="20"/>
        <v>0.5312144911550043</v>
      </c>
      <c r="L37" s="13">
        <f t="shared" si="20"/>
        <v>0.48581976919723352</v>
      </c>
      <c r="M37" s="13">
        <f t="shared" si="20"/>
        <v>0.44107840595226977</v>
      </c>
      <c r="N37" s="13">
        <f t="shared" si="20"/>
        <v>0.33610331625834133</v>
      </c>
      <c r="O37" s="13">
        <f t="shared" si="20"/>
        <v>0.33726577104918021</v>
      </c>
      <c r="P37" s="13">
        <f t="shared" si="20"/>
        <v>0.35858897455351285</v>
      </c>
      <c r="Q37" s="13">
        <f t="shared" si="20"/>
        <v>0.40403801806798451</v>
      </c>
      <c r="R37" s="14">
        <f t="shared" si="20"/>
        <v>0.40259779574346199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abSelected="1" workbookViewId="0">
      <selection activeCell="C30" sqref="C30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6" x14ac:dyDescent="0.25">
      <c r="A17" s="118">
        <v>44367</v>
      </c>
      <c r="B17" s="121" t="s">
        <v>97</v>
      </c>
      <c r="C17" s="120">
        <v>50</v>
      </c>
      <c r="E17" s="118"/>
      <c r="F17" s="120"/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5246.01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158.93999999999869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2021-08-03T20:15:32Z</cp:lastPrinted>
  <dcterms:created xsi:type="dcterms:W3CDTF">2021-03-17T05:33:13Z</dcterms:created>
  <dcterms:modified xsi:type="dcterms:W3CDTF">2021-08-10T18:22:45Z</dcterms:modified>
</cp:coreProperties>
</file>