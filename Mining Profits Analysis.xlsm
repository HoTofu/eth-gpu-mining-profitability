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BD44E6C-1F7D-4BC9-BF01-5ACF19F6494C}" xr6:coauthVersionLast="47" xr6:coauthVersionMax="47" xr10:uidLastSave="{00000000-0000-0000-0000-000000000000}"/>
  <bookViews>
    <workbookView xWindow="9600" yWindow="-105" windowWidth="28800" windowHeight="15375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3" l="1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L7" i="3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C39" i="3"/>
  <c r="C31" i="3"/>
  <c r="J8" i="5"/>
  <c r="I4" i="5"/>
  <c r="I5" i="5"/>
  <c r="E6" i="1"/>
  <c r="F6" i="1" s="1"/>
  <c r="E5" i="1"/>
  <c r="E4" i="1"/>
  <c r="F4" i="1" s="1"/>
  <c r="F5" i="1" l="1"/>
  <c r="C23" i="3"/>
  <c r="F10" i="3"/>
  <c r="G10" i="3"/>
  <c r="G33" i="3" s="1"/>
  <c r="H10" i="3"/>
  <c r="H41" i="3" s="1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D10" i="3"/>
  <c r="D25" i="3" s="1"/>
  <c r="P10" i="3"/>
  <c r="P25" i="3" s="1"/>
  <c r="E10" i="3"/>
  <c r="E25" i="3" s="1"/>
  <c r="Q25" i="3"/>
  <c r="Q33" i="3"/>
  <c r="Q41" i="3"/>
  <c r="F7" i="1"/>
  <c r="D6" i="3" s="1"/>
  <c r="P13" i="3" s="1"/>
  <c r="O25" i="3" l="1"/>
  <c r="O13" i="3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M34" i="3" s="1"/>
  <c r="M35" i="3" s="1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F28" i="3" s="1"/>
  <c r="Q26" i="3"/>
  <c r="Q28" i="3" s="1"/>
  <c r="Q34" i="3"/>
  <c r="Q36" i="3" s="1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<sst xmlns="http://schemas.openxmlformats.org/spreadsheetml/2006/main" count="2183" uniqueCount="71">
  <si>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</si>
  <si>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</si>
  <si>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</si>
  <si>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</si>
  <si>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</si>
  <si>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</si>
  <si>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</si>
  <si>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</si>
  <si>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</si>
  <si>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</si>
  <si>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</si>
  <si>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</si>
  <si>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</si>
  <si>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</si>
  <si>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</si>
  <si>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</si>
  <si>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</si>
  <si>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</si>
  <si>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</si>
  <si>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</si>
  <si>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</si>
  <si>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</si>
  <si>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</si>
  <si>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</si>
  <si>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</si>
  <si>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</si>
  <si>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</si>
  <si>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</si>
  <si>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</si>
  <si>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</si>
  <si>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</si>
  <si>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</si>
  <si>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</si>
  <si>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</si>
  <si>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</si>
  <si>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</si>
  <si>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</si>
  <si>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</si>
  <si>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</si>
  <si>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</si>
  <si>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</si>
  <si>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</si>
  <si>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</si>
  <si>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</si>
  <si>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</si>
  <si>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</si>
  <si>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</si>
  <si>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</si>
  <si>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</si>
  <si>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</si>
  <si>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</si>
  <si>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</si>
  <si>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</si>
  <si>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</si>
  <si>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</si>
  <si>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</si>
  <si>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</si>
  <si>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</si>
  <si>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</si>
  <si>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</si>
  <si>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</si>
  <si>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</si>
  <si>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</si>
  <si>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</si>
  <si>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</si>
  <si>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</si>
  <si>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</si>
  <si>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</si>
  <si>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</si>
  <si>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</si>
  <si>
    <t>Efficiency (kH/s/W)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</si>
</sst>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R9" sqref="R9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84" t="s">
        <v>65</v>
      </c>
      <c r="J1" s="84"/>
      <c r="K1" s="85"/>
      <c r="L1" s="83" t="s">
        <v>64</v>
      </c>
      <c r="M1" s="84"/>
      <c r="N1" s="85"/>
      <c r="O1" s="83" t="s">
        <v>63</v>
      </c>
      <c r="P1" s="84"/>
      <c r="Q1" s="79" t="s">
        <v>68</v>
      </c>
    </row>
    <row r="2" spans="1:29" s="7" customFormat="1" ht="5.25" customHeight="1" x14ac:dyDescent="0.25"/>
    <row r="3" spans="1:29" s="7" customFormat="1" ht="31.5" x14ac:dyDescent="0.25">
      <c r="A3" s="92" t="s">
        <v>38</v>
      </c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</row>
    <row r="4" spans="1:29" s="7" customFormat="1" x14ac:dyDescent="0.25">
      <c r="A4" s="108" t="s">
        <v>47</v>
      </c>
      <c r="B4" s="109"/>
      <c r="C4" s="107">
        <v>44367</v>
      </c>
      <c r="D4" s="107"/>
      <c r="N4" s="106" t="s">
        <v>52</v>
      </c>
      <c r="O4" s="106"/>
      <c r="P4" s="106"/>
      <c r="Q4" s="106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86" t="s">
        <v>33</v>
      </c>
      <c r="B6" s="102" t="s">
        <v>59</v>
      </c>
      <c r="C6" s="103"/>
      <c r="D6" s="60">
        <f>'Electricity Calculations'!F7</f>
        <v>10.324999999999999</v>
      </c>
      <c r="E6" s="1"/>
      <c r="F6" s="102" t="s">
        <v>53</v>
      </c>
      <c r="G6" s="103"/>
      <c r="H6" s="58">
        <v>2753</v>
      </c>
      <c r="I6" s="1"/>
      <c r="J6" s="102" t="s">
        <v>42</v>
      </c>
      <c r="K6" s="103"/>
      <c r="L6" s="59">
        <v>13.2</v>
      </c>
      <c r="N6" s="110" t="s">
        <v>51</v>
      </c>
      <c r="O6" s="111"/>
      <c r="P6" s="104">
        <f>24*3600/$L$6*$L$7*$H$6/D7/10000</f>
        <v>6.4985289473684222</v>
      </c>
    </row>
    <row r="7" spans="1:29" s="7" customFormat="1" ht="15.75" thickBot="1" x14ac:dyDescent="0.3">
      <c r="A7" s="87"/>
      <c r="B7" s="102" t="s">
        <v>49</v>
      </c>
      <c r="C7" s="103"/>
      <c r="D7" s="59">
        <v>570</v>
      </c>
      <c r="E7" s="1"/>
      <c r="F7" s="102" t="s">
        <v>60</v>
      </c>
      <c r="G7" s="103"/>
      <c r="H7" s="58">
        <v>13455</v>
      </c>
      <c r="I7" s="1"/>
      <c r="J7" s="102" t="s">
        <v>41</v>
      </c>
      <c r="K7" s="103"/>
      <c r="L7" s="60">
        <f>$H$7/(24*3600/L6)</f>
        <v>2.055625</v>
      </c>
      <c r="N7" s="112"/>
      <c r="O7" s="113"/>
      <c r="P7" s="105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87"/>
      <c r="U8"/>
      <c r="V8"/>
      <c r="W8"/>
      <c r="X8"/>
      <c r="Y8"/>
      <c r="Z8"/>
      <c r="AA8"/>
      <c r="AB8"/>
      <c r="AC8"/>
    </row>
    <row r="9" spans="1:29" ht="15.75" thickBot="1" x14ac:dyDescent="0.3">
      <c r="A9" s="87"/>
      <c r="B9" s="8" t="s">
        <v>0</v>
      </c>
      <c r="C9" s="10">
        <v>1070</v>
      </c>
      <c r="D9" s="11">
        <v>1080</v>
      </c>
      <c r="E9" s="11" t="s">
        <v>11</v>
      </c>
      <c r="F9" s="11" t="s">
        <v>48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87"/>
      <c r="B10" s="27" t="s">
        <v>54</v>
      </c>
      <c r="C10" s="62">
        <f t="shared" ref="C10:Q10" si="0">$P$6*C11/100</f>
        <v>1.9495586842105266</v>
      </c>
      <c r="D10" s="28">
        <f t="shared" si="0"/>
        <v>2.3394704210526318</v>
      </c>
      <c r="E10" s="28">
        <f t="shared" si="0"/>
        <v>2.9893233157894743</v>
      </c>
      <c r="F10" s="28">
        <f t="shared" si="0"/>
        <v>1.9495586842105266</v>
      </c>
      <c r="G10" s="28">
        <f t="shared" si="0"/>
        <v>2.079529263157895</v>
      </c>
      <c r="H10" s="28">
        <f t="shared" si="0"/>
        <v>2.7456284802631585</v>
      </c>
      <c r="I10" s="28">
        <f t="shared" si="0"/>
        <v>2.8593527368421059</v>
      </c>
      <c r="J10" s="28">
        <f t="shared" si="0"/>
        <v>2.7943674473684217</v>
      </c>
      <c r="K10" s="28">
        <f t="shared" si="0"/>
        <v>2.7943674473684217</v>
      </c>
      <c r="L10" s="28">
        <f t="shared" si="0"/>
        <v>2.7423792157894749</v>
      </c>
      <c r="M10" s="28">
        <f t="shared" si="0"/>
        <v>3.8471291368421059</v>
      </c>
      <c r="N10" s="28">
        <f t="shared" si="0"/>
        <v>3.9316100131578953</v>
      </c>
      <c r="O10" s="28">
        <f t="shared" si="0"/>
        <v>3.9355091305263166</v>
      </c>
      <c r="P10" s="28">
        <f t="shared" si="0"/>
        <v>6.2385877894736863</v>
      </c>
      <c r="Q10" s="29">
        <f t="shared" si="0"/>
        <v>7.7982347368421063</v>
      </c>
    </row>
    <row r="11" spans="1:29" x14ac:dyDescent="0.25">
      <c r="A11" s="87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  <c r="S11" s="2"/>
    </row>
    <row r="12" spans="1:29" x14ac:dyDescent="0.25">
      <c r="A12" s="87"/>
      <c r="B12" s="30" t="s">
        <v>37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  <c r="S12" s="2"/>
    </row>
    <row r="13" spans="1:29" x14ac:dyDescent="0.25">
      <c r="A13" s="87"/>
      <c r="B13" s="16" t="s">
        <v>58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87"/>
      <c r="B14" s="30" t="s">
        <v>55</v>
      </c>
      <c r="C14" s="34">
        <f t="shared" ref="C14:Q14" si="2">C10-C13</f>
        <v>1.6521986842105267</v>
      </c>
      <c r="D14" s="35">
        <f t="shared" si="2"/>
        <v>2.0049404210526318</v>
      </c>
      <c r="E14" s="35">
        <f t="shared" si="2"/>
        <v>2.3946033157894746</v>
      </c>
      <c r="F14" s="35">
        <f t="shared" ref="F14" si="3">F10-F13</f>
        <v>1.7265386842105266</v>
      </c>
      <c r="G14" s="35">
        <f>G10-G13</f>
        <v>1.856509263157895</v>
      </c>
      <c r="H14" s="35">
        <f t="shared" si="2"/>
        <v>2.4730484802631585</v>
      </c>
      <c r="I14" s="35">
        <f t="shared" si="2"/>
        <v>2.561992736842106</v>
      </c>
      <c r="J14" s="35">
        <f t="shared" si="2"/>
        <v>2.4846174473684215</v>
      </c>
      <c r="K14" s="35">
        <f t="shared" si="2"/>
        <v>2.5267434473684216</v>
      </c>
      <c r="L14" s="35">
        <f t="shared" si="2"/>
        <v>2.395459215789475</v>
      </c>
      <c r="M14" s="35">
        <f t="shared" si="2"/>
        <v>3.277189136842106</v>
      </c>
      <c r="N14" s="35">
        <f t="shared" si="2"/>
        <v>3.6342500131578954</v>
      </c>
      <c r="O14" s="35">
        <f t="shared" si="2"/>
        <v>3.6381491305263167</v>
      </c>
      <c r="P14" s="35">
        <f t="shared" si="2"/>
        <v>5.6934277894736862</v>
      </c>
      <c r="Q14" s="36">
        <f t="shared" si="2"/>
        <v>7.0920047368421066</v>
      </c>
    </row>
    <row r="15" spans="1:29" ht="17.25" x14ac:dyDescent="0.25">
      <c r="A15" s="87"/>
      <c r="B15" s="16" t="s">
        <v>56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1000</v>
      </c>
      <c r="L15" s="21">
        <v>1000</v>
      </c>
      <c r="M15" s="21">
        <v>1200</v>
      </c>
      <c r="N15" s="21">
        <v>1200</v>
      </c>
      <c r="O15" s="21">
        <v>1300</v>
      </c>
      <c r="P15" s="21">
        <v>1850</v>
      </c>
      <c r="Q15" s="22">
        <v>2777</v>
      </c>
    </row>
    <row r="16" spans="1:29" x14ac:dyDescent="0.25">
      <c r="A16" s="87"/>
      <c r="B16" s="30" t="s">
        <v>70</v>
      </c>
      <c r="C16" s="80">
        <f>C11/C12*1000</f>
        <v>250</v>
      </c>
      <c r="D16" s="81">
        <f t="shared" ref="D16:Q16" si="4">D11/D12*1000</f>
        <v>266.66666666666669</v>
      </c>
      <c r="E16" s="81">
        <f t="shared" si="4"/>
        <v>191.66666666666669</v>
      </c>
      <c r="F16" s="81">
        <f t="shared" si="4"/>
        <v>333.33333333333331</v>
      </c>
      <c r="G16" s="81">
        <f t="shared" si="4"/>
        <v>355.55555555555554</v>
      </c>
      <c r="H16" s="81">
        <f t="shared" si="4"/>
        <v>384.09090909090912</v>
      </c>
      <c r="I16" s="81">
        <f t="shared" si="4"/>
        <v>366.66666666666663</v>
      </c>
      <c r="J16" s="81">
        <f t="shared" si="4"/>
        <v>344</v>
      </c>
      <c r="K16" s="81">
        <f t="shared" si="4"/>
        <v>398.14814814814815</v>
      </c>
      <c r="L16" s="81">
        <f t="shared" si="4"/>
        <v>301.42857142857144</v>
      </c>
      <c r="M16" s="81">
        <f t="shared" si="4"/>
        <v>257.39130434782606</v>
      </c>
      <c r="N16" s="81">
        <f t="shared" si="4"/>
        <v>504.16666666666663</v>
      </c>
      <c r="O16" s="81">
        <f t="shared" si="4"/>
        <v>504.66666666666669</v>
      </c>
      <c r="P16" s="81">
        <f t="shared" si="4"/>
        <v>436.36363636363632</v>
      </c>
      <c r="Q16" s="82">
        <f t="shared" si="4"/>
        <v>421.05263157894734</v>
      </c>
    </row>
    <row r="17" spans="1:29" x14ac:dyDescent="0.25">
      <c r="A17" s="87"/>
      <c r="B17" s="16" t="s">
        <v>57</v>
      </c>
      <c r="C17" s="40">
        <f t="shared" ref="C17" si="5">C15/C14</f>
        <v>363.15244996499871</v>
      </c>
      <c r="D17" s="41">
        <f t="shared" ref="D17:Q17" si="6">D15/D14</f>
        <v>349.13755673222784</v>
      </c>
      <c r="E17" s="41">
        <f t="shared" si="6"/>
        <v>396.72541741503244</v>
      </c>
      <c r="F17" s="41">
        <f t="shared" ref="F17" si="7">F15/F14</f>
        <v>347.51610577109932</v>
      </c>
      <c r="G17" s="41">
        <f t="shared" si="6"/>
        <v>430.91624473729354</v>
      </c>
      <c r="H17" s="41">
        <f t="shared" si="6"/>
        <v>384.14127647789178</v>
      </c>
      <c r="I17" s="41">
        <f t="shared" si="6"/>
        <v>390.32116899464472</v>
      </c>
      <c r="J17" s="41">
        <f t="shared" si="6"/>
        <v>402.47644604570752</v>
      </c>
      <c r="K17" s="41">
        <f t="shared" si="6"/>
        <v>395.76633751301114</v>
      </c>
      <c r="L17" s="41">
        <f t="shared" si="6"/>
        <v>417.45649160235382</v>
      </c>
      <c r="M17" s="41">
        <f t="shared" si="6"/>
        <v>366.16745323290007</v>
      </c>
      <c r="N17" s="41">
        <f t="shared" si="6"/>
        <v>330.19192286038913</v>
      </c>
      <c r="O17" s="41">
        <f t="shared" si="6"/>
        <v>357.32454975311418</v>
      </c>
      <c r="P17" s="41">
        <f t="shared" si="6"/>
        <v>324.93606108790544</v>
      </c>
      <c r="Q17" s="42">
        <f t="shared" si="6"/>
        <v>391.56770236965872</v>
      </c>
    </row>
    <row r="18" spans="1:29" ht="18" thickBot="1" x14ac:dyDescent="0.3">
      <c r="A18" s="87"/>
      <c r="B18" s="9" t="s">
        <v>43</v>
      </c>
      <c r="C18" s="37">
        <f t="shared" ref="C18" si="8">C14*365/C15</f>
        <v>1.0050875328947371</v>
      </c>
      <c r="D18" s="38">
        <f t="shared" ref="D18:Q18" si="9">D14*365/D15</f>
        <v>1.0454332195488723</v>
      </c>
      <c r="E18" s="38">
        <f t="shared" si="9"/>
        <v>0.92003180027700859</v>
      </c>
      <c r="F18" s="38">
        <f t="shared" ref="F18" si="10">F14*365/F15</f>
        <v>1.0503110328947369</v>
      </c>
      <c r="G18" s="38">
        <f t="shared" si="9"/>
        <v>0.84703235131578969</v>
      </c>
      <c r="H18" s="38">
        <f t="shared" si="9"/>
        <v>0.95017125820637149</v>
      </c>
      <c r="I18" s="38">
        <f t="shared" si="9"/>
        <v>0.93512734894736871</v>
      </c>
      <c r="J18" s="38">
        <f t="shared" si="9"/>
        <v>0.90688536828947386</v>
      </c>
      <c r="K18" s="38">
        <f t="shared" si="9"/>
        <v>0.92226135828947386</v>
      </c>
      <c r="L18" s="38">
        <f t="shared" si="9"/>
        <v>0.87434261376315836</v>
      </c>
      <c r="M18" s="38">
        <f t="shared" si="9"/>
        <v>0.99681169578947393</v>
      </c>
      <c r="N18" s="38">
        <f t="shared" si="9"/>
        <v>1.1054177123355264</v>
      </c>
      <c r="O18" s="38">
        <f t="shared" si="9"/>
        <v>1.0214803328016198</v>
      </c>
      <c r="P18" s="38">
        <f t="shared" si="9"/>
        <v>1.1232979152204841</v>
      </c>
      <c r="Q18" s="39">
        <f t="shared" si="9"/>
        <v>0.93215042453992403</v>
      </c>
    </row>
    <row r="19" spans="1:29" s="7" customFormat="1" x14ac:dyDescent="0.25">
      <c r="A19" s="87"/>
      <c r="B19" s="93" t="s">
        <v>44</v>
      </c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5"/>
      <c r="U19"/>
      <c r="V19"/>
      <c r="W19"/>
      <c r="X19"/>
      <c r="Y19"/>
      <c r="Z19"/>
      <c r="AA19"/>
      <c r="AB19"/>
      <c r="AC19"/>
    </row>
    <row r="20" spans="1:29" ht="15.75" x14ac:dyDescent="0.25">
      <c r="A20" s="87"/>
      <c r="B20" s="96" t="s">
        <v>46</v>
      </c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8"/>
    </row>
    <row r="21" spans="1:29" ht="16.5" thickBot="1" x14ac:dyDescent="0.3">
      <c r="A21" s="88"/>
      <c r="B21" s="99" t="s">
        <v>45</v>
      </c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1"/>
    </row>
    <row r="22" spans="1:29" ht="15.75" thickBot="1" x14ac:dyDescent="0.3"/>
    <row r="23" spans="1:29" ht="15.75" thickBot="1" x14ac:dyDescent="0.3">
      <c r="A23" s="86" t="s">
        <v>19</v>
      </c>
      <c r="B23" s="6" t="s">
        <v>34</v>
      </c>
      <c r="C23" s="61">
        <f>1-2/$L$7</f>
        <v>2.7059896625113988E-2</v>
      </c>
    </row>
    <row r="24" spans="1:29" ht="15.75" customHeight="1" thickBot="1" x14ac:dyDescent="0.3">
      <c r="A24" s="87"/>
      <c r="B24" s="3" t="s">
        <v>0</v>
      </c>
      <c r="C24" s="24">
        <f>C$9</f>
        <v>1070</v>
      </c>
      <c r="D24" s="25">
        <f t="shared" ref="D24:Q24" si="11">D$9</f>
        <v>1080</v>
      </c>
      <c r="E24" s="25" t="str">
        <f t="shared" si="11"/>
        <v>1080 Ti</v>
      </c>
      <c r="F24" s="25" t="str">
        <f t="shared" si="11"/>
        <v>1660s</v>
      </c>
      <c r="G24" s="25">
        <f t="shared" si="11"/>
        <v>2060</v>
      </c>
      <c r="H24" s="25" t="str">
        <f t="shared" si="11"/>
        <v>2060s</v>
      </c>
      <c r="I24" s="25">
        <f t="shared" si="11"/>
        <v>2070</v>
      </c>
      <c r="J24" s="25" t="str">
        <f t="shared" si="11"/>
        <v>2070s</v>
      </c>
      <c r="K24" s="25">
        <f t="shared" si="11"/>
        <v>2080</v>
      </c>
      <c r="L24" s="25" t="str">
        <f t="shared" si="11"/>
        <v>2080s</v>
      </c>
      <c r="M24" s="25" t="str">
        <f t="shared" si="11"/>
        <v>2080Ti</v>
      </c>
      <c r="N24" s="25" t="str">
        <f t="shared" si="11"/>
        <v>3060 Ti</v>
      </c>
      <c r="O24" s="25">
        <f t="shared" si="11"/>
        <v>3070</v>
      </c>
      <c r="P24" s="25">
        <f t="shared" si="11"/>
        <v>3080</v>
      </c>
      <c r="Q24" s="26">
        <f t="shared" si="11"/>
        <v>3090</v>
      </c>
    </row>
    <row r="25" spans="1:29" x14ac:dyDescent="0.25">
      <c r="A25" s="87"/>
      <c r="B25" s="43" t="s">
        <v>36</v>
      </c>
      <c r="C25" s="44">
        <f t="shared" ref="C25:Q25" si="12">C$10*(1-$C$23)</f>
        <v>1.8968038277511965</v>
      </c>
      <c r="D25" s="45">
        <f t="shared" si="12"/>
        <v>2.2761645933014356</v>
      </c>
      <c r="E25" s="45">
        <f t="shared" si="12"/>
        <v>2.9084325358851681</v>
      </c>
      <c r="F25" s="45">
        <f t="shared" si="12"/>
        <v>1.8968038277511965</v>
      </c>
      <c r="G25" s="45">
        <f t="shared" si="12"/>
        <v>2.0232574162679429</v>
      </c>
      <c r="H25" s="45">
        <f t="shared" si="12"/>
        <v>2.6713320574162687</v>
      </c>
      <c r="I25" s="45">
        <f t="shared" si="12"/>
        <v>2.7819789473684216</v>
      </c>
      <c r="J25" s="45">
        <f t="shared" si="12"/>
        <v>2.7187521531100485</v>
      </c>
      <c r="K25" s="45">
        <f t="shared" si="12"/>
        <v>2.7187521531100485</v>
      </c>
      <c r="L25" s="45">
        <f t="shared" si="12"/>
        <v>2.6681707177033505</v>
      </c>
      <c r="M25" s="45">
        <f t="shared" si="12"/>
        <v>3.7430262200956945</v>
      </c>
      <c r="N25" s="45">
        <f t="shared" si="12"/>
        <v>3.8252210526315795</v>
      </c>
      <c r="O25" s="45">
        <f t="shared" si="12"/>
        <v>3.8290146602870823</v>
      </c>
      <c r="P25" s="45">
        <f t="shared" si="12"/>
        <v>6.0697722488038304</v>
      </c>
      <c r="Q25" s="46">
        <f t="shared" si="12"/>
        <v>7.587215311004786</v>
      </c>
    </row>
    <row r="26" spans="1:29" x14ac:dyDescent="0.25">
      <c r="A26" s="87"/>
      <c r="B26" s="23" t="s">
        <v>18</v>
      </c>
      <c r="C26" s="51">
        <f t="shared" ref="C26:Q26" si="13">C25-C$13</f>
        <v>1.5994438277511964</v>
      </c>
      <c r="D26" s="52">
        <f t="shared" si="13"/>
        <v>1.9416345933014356</v>
      </c>
      <c r="E26" s="52">
        <f t="shared" si="13"/>
        <v>2.313712535885168</v>
      </c>
      <c r="F26" s="52">
        <f t="shared" ref="F26" si="14">F25-F$13</f>
        <v>1.6737838277511965</v>
      </c>
      <c r="G26" s="52">
        <f t="shared" si="13"/>
        <v>1.8002374162679429</v>
      </c>
      <c r="H26" s="52">
        <f t="shared" si="13"/>
        <v>2.3987520574162686</v>
      </c>
      <c r="I26" s="52">
        <f t="shared" si="13"/>
        <v>2.4846189473684217</v>
      </c>
      <c r="J26" s="52">
        <f t="shared" si="13"/>
        <v>2.4090021531100483</v>
      </c>
      <c r="K26" s="52">
        <f t="shared" si="13"/>
        <v>2.4511281531100484</v>
      </c>
      <c r="L26" s="52">
        <f t="shared" si="13"/>
        <v>2.3212507177033506</v>
      </c>
      <c r="M26" s="52">
        <f t="shared" si="13"/>
        <v>3.1730862200956946</v>
      </c>
      <c r="N26" s="52">
        <f t="shared" si="13"/>
        <v>3.5278610526315797</v>
      </c>
      <c r="O26" s="52">
        <f t="shared" si="13"/>
        <v>3.5316546602870824</v>
      </c>
      <c r="P26" s="52">
        <f t="shared" si="13"/>
        <v>5.5246122488038303</v>
      </c>
      <c r="Q26" s="53">
        <f t="shared" si="13"/>
        <v>6.8809853110047863</v>
      </c>
    </row>
    <row r="27" spans="1:29" x14ac:dyDescent="0.25">
      <c r="A27" s="87"/>
      <c r="B27" s="47" t="s">
        <v>16</v>
      </c>
      <c r="C27" s="48">
        <f t="shared" ref="C27:Q27" si="15">IF(C26&gt;0,C$15/C26,"N/A")</f>
        <v>375.13039819822529</v>
      </c>
      <c r="D27" s="49">
        <f t="shared" si="15"/>
        <v>360.52097671465731</v>
      </c>
      <c r="E27" s="49">
        <f t="shared" si="15"/>
        <v>410.59551922104015</v>
      </c>
      <c r="F27" s="49">
        <f t="shared" ref="F27" si="16">IF(F26&gt;0,F$15/F26,"N/A")</f>
        <v>358.46923004754257</v>
      </c>
      <c r="G27" s="49">
        <f t="shared" si="15"/>
        <v>444.38583087472614</v>
      </c>
      <c r="H27" s="49">
        <f t="shared" si="15"/>
        <v>396.03926427613328</v>
      </c>
      <c r="I27" s="49">
        <f t="shared" si="15"/>
        <v>402.47620306491973</v>
      </c>
      <c r="J27" s="49">
        <f t="shared" si="15"/>
        <v>415.10963313544119</v>
      </c>
      <c r="K27" s="49">
        <f t="shared" si="15"/>
        <v>407.97540460345851</v>
      </c>
      <c r="L27" s="49">
        <f t="shared" si="15"/>
        <v>430.80223621401899</v>
      </c>
      <c r="M27" s="49">
        <f t="shared" si="15"/>
        <v>378.18071012385229</v>
      </c>
      <c r="N27" s="49">
        <f t="shared" si="15"/>
        <v>340.14945092717574</v>
      </c>
      <c r="O27" s="49">
        <f t="shared" si="15"/>
        <v>368.09941091304921</v>
      </c>
      <c r="P27" s="49">
        <f t="shared" si="15"/>
        <v>334.8651301999621</v>
      </c>
      <c r="Q27" s="50">
        <f t="shared" si="15"/>
        <v>403.57592328510469</v>
      </c>
    </row>
    <row r="28" spans="1:29" ht="15.75" thickBot="1" x14ac:dyDescent="0.3">
      <c r="A28" s="87"/>
      <c r="B28" s="54" t="s">
        <v>17</v>
      </c>
      <c r="C28" s="55">
        <f>C26*365/C$15</f>
        <v>0.97299499521531119</v>
      </c>
      <c r="D28" s="56">
        <f>D26*365/D$15</f>
        <v>1.0124237522214627</v>
      </c>
      <c r="E28" s="56">
        <f t="shared" ref="E28:Q28" si="17">E26*365/E15</f>
        <v>0.88895271115588037</v>
      </c>
      <c r="F28" s="56">
        <f t="shared" ref="F28" si="18">F26*365/F15</f>
        <v>1.0182184952153113</v>
      </c>
      <c r="G28" s="56">
        <f t="shared" si="17"/>
        <v>0.82135832117224894</v>
      </c>
      <c r="H28" s="56">
        <f t="shared" si="17"/>
        <v>0.92162579048098736</v>
      </c>
      <c r="I28" s="56">
        <f t="shared" si="17"/>
        <v>0.90688591578947386</v>
      </c>
      <c r="J28" s="56">
        <f t="shared" si="17"/>
        <v>0.87928578588516759</v>
      </c>
      <c r="K28" s="56">
        <f t="shared" si="17"/>
        <v>0.89466177588516771</v>
      </c>
      <c r="L28" s="56">
        <f t="shared" si="17"/>
        <v>0.84725651196172291</v>
      </c>
      <c r="M28" s="56">
        <f t="shared" si="17"/>
        <v>0.96514705861244043</v>
      </c>
      <c r="N28" s="56">
        <f t="shared" si="17"/>
        <v>1.0730577368421055</v>
      </c>
      <c r="O28" s="56">
        <f t="shared" si="17"/>
        <v>0.99157996231137324</v>
      </c>
      <c r="P28" s="56">
        <f t="shared" si="17"/>
        <v>1.0899910653045395</v>
      </c>
      <c r="Q28" s="57">
        <f t="shared" si="17"/>
        <v>0.90441470598370433</v>
      </c>
    </row>
    <row r="29" spans="1:29" ht="108.75" customHeight="1" thickBot="1" x14ac:dyDescent="0.3">
      <c r="A29" s="88"/>
      <c r="B29" s="89" t="s">
        <v>40</v>
      </c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1"/>
    </row>
    <row r="30" spans="1:29" ht="15.75" thickBot="1" x14ac:dyDescent="0.3"/>
    <row r="31" spans="1:29" ht="15.75" thickBot="1" x14ac:dyDescent="0.3">
      <c r="A31" s="86" t="s">
        <v>20</v>
      </c>
      <c r="B31" s="6" t="s">
        <v>34</v>
      </c>
      <c r="C31" s="61">
        <f>1-83/1405</f>
        <v>0.94092526690391454</v>
      </c>
    </row>
    <row r="32" spans="1:29" ht="15.75" customHeight="1" thickBot="1" x14ac:dyDescent="0.3">
      <c r="A32" s="87"/>
      <c r="B32" s="3" t="s">
        <v>0</v>
      </c>
      <c r="C32" s="24">
        <f>C$9</f>
        <v>1070</v>
      </c>
      <c r="D32" s="25">
        <f t="shared" ref="D32:Q32" si="19">D$9</f>
        <v>1080</v>
      </c>
      <c r="E32" s="25" t="str">
        <f t="shared" si="19"/>
        <v>1080 Ti</v>
      </c>
      <c r="F32" s="25" t="str">
        <f t="shared" si="19"/>
        <v>1660s</v>
      </c>
      <c r="G32" s="25">
        <f t="shared" si="19"/>
        <v>2060</v>
      </c>
      <c r="H32" s="25" t="str">
        <f t="shared" si="19"/>
        <v>2060s</v>
      </c>
      <c r="I32" s="25">
        <f t="shared" si="19"/>
        <v>2070</v>
      </c>
      <c r="J32" s="25" t="str">
        <f t="shared" si="19"/>
        <v>2070s</v>
      </c>
      <c r="K32" s="25">
        <f t="shared" si="19"/>
        <v>2080</v>
      </c>
      <c r="L32" s="25" t="str">
        <f t="shared" si="19"/>
        <v>2080s</v>
      </c>
      <c r="M32" s="25" t="str">
        <f t="shared" si="19"/>
        <v>2080Ti</v>
      </c>
      <c r="N32" s="25" t="str">
        <f t="shared" si="19"/>
        <v>3060 Ti</v>
      </c>
      <c r="O32" s="25">
        <f t="shared" si="19"/>
        <v>3070</v>
      </c>
      <c r="P32" s="25">
        <f t="shared" si="19"/>
        <v>3080</v>
      </c>
      <c r="Q32" s="26">
        <f t="shared" si="19"/>
        <v>3090</v>
      </c>
    </row>
    <row r="33" spans="1:17" x14ac:dyDescent="0.25">
      <c r="A33" s="87"/>
      <c r="B33" s="43" t="s">
        <v>36</v>
      </c>
      <c r="C33" s="44">
        <f t="shared" ref="C33:Q33" si="20">C$10*(1-$C$31)</f>
        <v>0.11516965892489242</v>
      </c>
      <c r="D33" s="45">
        <f t="shared" si="20"/>
        <v>0.1382035907098709</v>
      </c>
      <c r="E33" s="45">
        <f t="shared" si="20"/>
        <v>0.17659347701816838</v>
      </c>
      <c r="F33" s="45">
        <f t="shared" si="20"/>
        <v>0.11516965892489242</v>
      </c>
      <c r="G33" s="45">
        <f t="shared" si="20"/>
        <v>0.12284763618655192</v>
      </c>
      <c r="H33" s="45">
        <f t="shared" si="20"/>
        <v>0.16219726965255685</v>
      </c>
      <c r="I33" s="45">
        <f t="shared" si="20"/>
        <v>0.16891549975650891</v>
      </c>
      <c r="J33" s="45">
        <f t="shared" si="20"/>
        <v>0.16507651112567914</v>
      </c>
      <c r="K33" s="45">
        <f t="shared" si="20"/>
        <v>0.16507651112567914</v>
      </c>
      <c r="L33" s="45">
        <f t="shared" si="20"/>
        <v>0.16200532022101538</v>
      </c>
      <c r="M33" s="45">
        <f t="shared" si="20"/>
        <v>0.22726812694512105</v>
      </c>
      <c r="N33" s="45">
        <f t="shared" si="20"/>
        <v>0.23225881216519972</v>
      </c>
      <c r="O33" s="45">
        <f t="shared" si="20"/>
        <v>0.23248915148304952</v>
      </c>
      <c r="P33" s="45">
        <f t="shared" si="20"/>
        <v>0.36854290855965582</v>
      </c>
      <c r="Q33" s="46">
        <f t="shared" si="20"/>
        <v>0.46067863569956968</v>
      </c>
    </row>
    <row r="34" spans="1:17" x14ac:dyDescent="0.25">
      <c r="A34" s="87"/>
      <c r="B34" s="23" t="s">
        <v>18</v>
      </c>
      <c r="C34" s="51">
        <f t="shared" ref="C34:Q34" si="21">C33-C$13</f>
        <v>-0.18219034107510754</v>
      </c>
      <c r="D34" s="52">
        <f t="shared" si="21"/>
        <v>-0.19632640929012915</v>
      </c>
      <c r="E34" s="52">
        <f t="shared" si="21"/>
        <v>-0.41812652298183151</v>
      </c>
      <c r="F34" s="52">
        <f t="shared" ref="F34" si="22">F33-F$13</f>
        <v>-0.10785034107510758</v>
      </c>
      <c r="G34" s="52">
        <f t="shared" si="21"/>
        <v>-0.10017236381344807</v>
      </c>
      <c r="H34" s="52">
        <f t="shared" si="21"/>
        <v>-0.11038273034744314</v>
      </c>
      <c r="I34" s="52">
        <f t="shared" si="21"/>
        <v>-0.12844450024349105</v>
      </c>
      <c r="J34" s="52">
        <f t="shared" si="21"/>
        <v>-0.14467348887432083</v>
      </c>
      <c r="K34" s="52">
        <f t="shared" si="21"/>
        <v>-0.10254748887432083</v>
      </c>
      <c r="L34" s="52">
        <f t="shared" si="21"/>
        <v>-0.18491467977898457</v>
      </c>
      <c r="M34" s="52">
        <f t="shared" si="21"/>
        <v>-0.34267187305487884</v>
      </c>
      <c r="N34" s="52">
        <f t="shared" si="21"/>
        <v>-6.5101187834800234E-2</v>
      </c>
      <c r="O34" s="52">
        <f t="shared" si="21"/>
        <v>-6.4870848516950436E-2</v>
      </c>
      <c r="P34" s="52">
        <f t="shared" si="21"/>
        <v>-0.17661709144034415</v>
      </c>
      <c r="Q34" s="53">
        <f t="shared" si="21"/>
        <v>-0.24555136430043023</v>
      </c>
    </row>
    <row r="35" spans="1:17" x14ac:dyDescent="0.25">
      <c r="A35" s="87"/>
      <c r="B35" s="47" t="s">
        <v>16</v>
      </c>
      <c r="C35" s="48" t="str">
        <f t="shared" ref="C35:Q35" si="23">IF(C34&gt;0,C$15/C34,"N/A")</f>
        <v>N/A</v>
      </c>
      <c r="D35" s="49" t="str">
        <f t="shared" si="23"/>
        <v>N/A</v>
      </c>
      <c r="E35" s="49" t="str">
        <f t="shared" si="23"/>
        <v>N/A</v>
      </c>
      <c r="F35" s="49" t="str">
        <f t="shared" ref="F35" si="24">IF(F34&gt;0,F$15/F34,"N/A")</f>
        <v>N/A</v>
      </c>
      <c r="G35" s="49" t="str">
        <f t="shared" si="23"/>
        <v>N/A</v>
      </c>
      <c r="H35" s="49" t="str">
        <f t="shared" si="23"/>
        <v>N/A</v>
      </c>
      <c r="I35" s="49" t="str">
        <f t="shared" si="23"/>
        <v>N/A</v>
      </c>
      <c r="J35" s="49" t="str">
        <f t="shared" si="23"/>
        <v>N/A</v>
      </c>
      <c r="K35" s="49" t="str">
        <f t="shared" si="23"/>
        <v>N/A</v>
      </c>
      <c r="L35" s="49" t="str">
        <f t="shared" si="23"/>
        <v>N/A</v>
      </c>
      <c r="M35" s="49" t="str">
        <f t="shared" si="23"/>
        <v>N/A</v>
      </c>
      <c r="N35" s="49" t="str">
        <f t="shared" si="23"/>
        <v>N/A</v>
      </c>
      <c r="O35" s="49" t="str">
        <f t="shared" si="23"/>
        <v>N/A</v>
      </c>
      <c r="P35" s="49" t="str">
        <f t="shared" si="23"/>
        <v>N/A</v>
      </c>
      <c r="Q35" s="50" t="str">
        <f t="shared" si="23"/>
        <v>N/A</v>
      </c>
    </row>
    <row r="36" spans="1:17" ht="15.75" thickBot="1" x14ac:dyDescent="0.3">
      <c r="A36" s="87"/>
      <c r="B36" s="54" t="s">
        <v>17</v>
      </c>
      <c r="C36" s="55">
        <f t="shared" ref="C36:Q36" si="25">C34*365/C$15</f>
        <v>-0.11083245748735708</v>
      </c>
      <c r="D36" s="56">
        <f t="shared" si="25"/>
        <v>-0.10237019912985305</v>
      </c>
      <c r="E36" s="56">
        <f t="shared" si="25"/>
        <v>-0.16064861146144052</v>
      </c>
      <c r="F36" s="56">
        <f t="shared" ref="F36" si="26">F34*365/F$15</f>
        <v>-6.5608957487357109E-2</v>
      </c>
      <c r="G36" s="56">
        <f t="shared" si="25"/>
        <v>-4.5703640989885684E-2</v>
      </c>
      <c r="H36" s="56">
        <f t="shared" si="25"/>
        <v>-4.2410206922964995E-2</v>
      </c>
      <c r="I36" s="56">
        <f t="shared" si="25"/>
        <v>-4.6882242588874232E-2</v>
      </c>
      <c r="J36" s="56">
        <f t="shared" si="25"/>
        <v>-5.2805823439127104E-2</v>
      </c>
      <c r="K36" s="56">
        <f t="shared" si="25"/>
        <v>-3.7429833439127098E-2</v>
      </c>
      <c r="L36" s="56">
        <f t="shared" si="25"/>
        <v>-6.749385811932937E-2</v>
      </c>
      <c r="M36" s="56">
        <f t="shared" si="25"/>
        <v>-0.10422936138752564</v>
      </c>
      <c r="N36" s="56">
        <f t="shared" si="25"/>
        <v>-1.9801611299751738E-2</v>
      </c>
      <c r="O36" s="56">
        <f t="shared" si="25"/>
        <v>-1.8213738237451468E-2</v>
      </c>
      <c r="P36" s="56">
        <f t="shared" si="25"/>
        <v>-3.4846074797689523E-2</v>
      </c>
      <c r="Q36" s="57">
        <f t="shared" si="25"/>
        <v>-3.2274486125191584E-2</v>
      </c>
    </row>
    <row r="37" spans="1:17" ht="80.25" customHeight="1" thickBot="1" x14ac:dyDescent="0.3">
      <c r="A37" s="88"/>
      <c r="B37" s="89" t="s">
        <v>50</v>
      </c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1"/>
    </row>
    <row r="38" spans="1:17" ht="15.75" thickBot="1" x14ac:dyDescent="0.3"/>
    <row r="39" spans="1:17" ht="15.75" thickBot="1" x14ac:dyDescent="0.3">
      <c r="A39" s="86" t="s">
        <v>35</v>
      </c>
      <c r="B39" s="6" t="s">
        <v>34</v>
      </c>
      <c r="C39" s="61">
        <f>1-485/1405</f>
        <v>0.65480427046263345</v>
      </c>
    </row>
    <row r="40" spans="1:17" ht="15.75" thickBot="1" x14ac:dyDescent="0.3">
      <c r="A40" s="87"/>
      <c r="B40" s="3" t="s">
        <v>0</v>
      </c>
      <c r="C40" s="24">
        <f>C$9</f>
        <v>1070</v>
      </c>
      <c r="D40" s="25">
        <f t="shared" ref="D40:Q40" si="27">D$9</f>
        <v>1080</v>
      </c>
      <c r="E40" s="25" t="str">
        <f t="shared" si="27"/>
        <v>1080 Ti</v>
      </c>
      <c r="F40" s="25" t="str">
        <f t="shared" si="27"/>
        <v>1660s</v>
      </c>
      <c r="G40" s="25">
        <f t="shared" si="27"/>
        <v>2060</v>
      </c>
      <c r="H40" s="25" t="str">
        <f t="shared" si="27"/>
        <v>2060s</v>
      </c>
      <c r="I40" s="25">
        <f t="shared" si="27"/>
        <v>2070</v>
      </c>
      <c r="J40" s="25" t="str">
        <f t="shared" si="27"/>
        <v>2070s</v>
      </c>
      <c r="K40" s="25">
        <f t="shared" si="27"/>
        <v>2080</v>
      </c>
      <c r="L40" s="25" t="str">
        <f t="shared" si="27"/>
        <v>2080s</v>
      </c>
      <c r="M40" s="25" t="str">
        <f t="shared" si="27"/>
        <v>2080Ti</v>
      </c>
      <c r="N40" s="25" t="str">
        <f t="shared" si="27"/>
        <v>3060 Ti</v>
      </c>
      <c r="O40" s="25">
        <f t="shared" si="27"/>
        <v>3070</v>
      </c>
      <c r="P40" s="25">
        <f t="shared" si="27"/>
        <v>3080</v>
      </c>
      <c r="Q40" s="26">
        <f t="shared" si="27"/>
        <v>3090</v>
      </c>
    </row>
    <row r="41" spans="1:17" x14ac:dyDescent="0.25">
      <c r="A41" s="87"/>
      <c r="B41" s="43" t="s">
        <v>36</v>
      </c>
      <c r="C41" s="44">
        <f t="shared" ref="C41:Q41" si="28">C$10*(1-$C$39)</f>
        <v>0.67297933227196116</v>
      </c>
      <c r="D41" s="45">
        <f t="shared" si="28"/>
        <v>0.8075751987263533</v>
      </c>
      <c r="E41" s="45">
        <f t="shared" si="28"/>
        <v>1.0319016428170071</v>
      </c>
      <c r="F41" s="45">
        <f t="shared" si="28"/>
        <v>0.67297933227196116</v>
      </c>
      <c r="G41" s="45">
        <f t="shared" si="28"/>
        <v>0.71784462109009184</v>
      </c>
      <c r="H41" s="45">
        <f t="shared" si="28"/>
        <v>0.94777922628301203</v>
      </c>
      <c r="I41" s="45">
        <f t="shared" si="28"/>
        <v>0.98703635399887646</v>
      </c>
      <c r="J41" s="45">
        <f t="shared" si="28"/>
        <v>0.96460370958981101</v>
      </c>
      <c r="K41" s="45">
        <f t="shared" si="28"/>
        <v>0.96460370958981101</v>
      </c>
      <c r="L41" s="45">
        <f t="shared" si="28"/>
        <v>0.94665759406255889</v>
      </c>
      <c r="M41" s="45">
        <f t="shared" si="28"/>
        <v>1.3280125490166701</v>
      </c>
      <c r="N41" s="45">
        <f t="shared" si="28"/>
        <v>1.357174986748455</v>
      </c>
      <c r="O41" s="45">
        <f t="shared" si="28"/>
        <v>1.3585209454129989</v>
      </c>
      <c r="P41" s="45">
        <f t="shared" si="28"/>
        <v>2.1535338632702761</v>
      </c>
      <c r="Q41" s="46">
        <f t="shared" si="28"/>
        <v>2.6919173290878446</v>
      </c>
    </row>
    <row r="42" spans="1:17" x14ac:dyDescent="0.25">
      <c r="A42" s="87"/>
      <c r="B42" s="23" t="s">
        <v>18</v>
      </c>
      <c r="C42" s="51">
        <f>C41-C$13</f>
        <v>0.3756193322719612</v>
      </c>
      <c r="D42" s="52">
        <f>D41-D$13</f>
        <v>0.47304519872635326</v>
      </c>
      <c r="E42" s="52">
        <f t="shared" ref="E42:F42" si="29">E41-E$13</f>
        <v>0.43718164281700722</v>
      </c>
      <c r="F42" s="52">
        <f t="shared" si="29"/>
        <v>0.44995933227196117</v>
      </c>
      <c r="G42" s="52">
        <f t="shared" ref="G42" si="30">G41-G$13</f>
        <v>0.49482462109009184</v>
      </c>
      <c r="H42" s="52">
        <f t="shared" ref="H42" si="31">H41-H$13</f>
        <v>0.67519922628301199</v>
      </c>
      <c r="I42" s="52">
        <f t="shared" ref="I42" si="32">I41-I$13</f>
        <v>0.6896763539988765</v>
      </c>
      <c r="J42" s="52">
        <f t="shared" ref="J42" si="33">J41-J$13</f>
        <v>0.65485370958981104</v>
      </c>
      <c r="K42" s="52">
        <f t="shared" ref="K42" si="34">K41-K$13</f>
        <v>0.69697970958981104</v>
      </c>
      <c r="L42" s="52">
        <f t="shared" ref="L42" si="35">L41-L$13</f>
        <v>0.59973759406255889</v>
      </c>
      <c r="M42" s="52">
        <f t="shared" ref="M42" si="36">M41-M$13</f>
        <v>0.75807254901667021</v>
      </c>
      <c r="N42" s="52">
        <f t="shared" ref="N42" si="37">N41-N$13</f>
        <v>1.0598149867484552</v>
      </c>
      <c r="O42" s="52">
        <f t="shared" ref="O42" si="38">O41-O$13</f>
        <v>1.0611609454129991</v>
      </c>
      <c r="P42" s="52">
        <f t="shared" ref="P42" si="39">P41-P$13</f>
        <v>1.608373863270276</v>
      </c>
      <c r="Q42" s="53">
        <f>Q41-Q$13</f>
        <v>1.9856873290878447</v>
      </c>
    </row>
    <row r="43" spans="1:17" x14ac:dyDescent="0.25">
      <c r="A43" s="87"/>
      <c r="B43" s="47" t="s">
        <v>16</v>
      </c>
      <c r="C43" s="48">
        <f>IF(C42&gt;0,C$15/C42,"N/A")</f>
        <v>1597.3618726460531</v>
      </c>
      <c r="D43" s="49">
        <f>IF(D42&gt;0,D$15/D42,"N/A")</f>
        <v>1479.7740298066851</v>
      </c>
      <c r="E43" s="49">
        <f t="shared" ref="E43:F43" si="40">IF(E42&gt;0,E$15/E42,"N/A")</f>
        <v>2173.0098132177181</v>
      </c>
      <c r="F43" s="49">
        <f t="shared" si="40"/>
        <v>1333.4538411959247</v>
      </c>
      <c r="G43" s="49">
        <f t="shared" ref="G43" si="41">IF(G42&gt;0,G$15/G42,"N/A")</f>
        <v>1616.7344265077413</v>
      </c>
      <c r="H43" s="49">
        <f t="shared" ref="H43" si="42">IF(H42&gt;0,H$15/H42,"N/A")</f>
        <v>1406.992133610361</v>
      </c>
      <c r="I43" s="49">
        <f t="shared" ref="I43" si="43">IF(I42&gt;0,I$15/I42,"N/A")</f>
        <v>1449.9554670851148</v>
      </c>
      <c r="J43" s="49">
        <f t="shared" ref="J43" si="44">IF(J42&gt;0,J$15/J42,"N/A")</f>
        <v>1527.0586168418938</v>
      </c>
      <c r="K43" s="49">
        <f t="shared" ref="K43" si="45">IF(K42&gt;0,K$15/K42,"N/A")</f>
        <v>1434.7619970006351</v>
      </c>
      <c r="L43" s="49">
        <f t="shared" ref="L43" si="46">IF(L42&gt;0,L$15/L42,"N/A")</f>
        <v>1667.395890969759</v>
      </c>
      <c r="M43" s="49">
        <f t="shared" ref="M43" si="47">IF(M42&gt;0,M$15/M42,"N/A")</f>
        <v>1582.9619494289479</v>
      </c>
      <c r="N43" s="49">
        <f t="shared" ref="N43" si="48">IF(N42&gt;0,N$15/N42,"N/A")</f>
        <v>1132.2730995545144</v>
      </c>
      <c r="O43" s="49">
        <f t="shared" ref="O43" si="49">IF(O42&gt;0,O$15/O42,"N/A")</f>
        <v>1225.0733553844143</v>
      </c>
      <c r="P43" s="49">
        <f t="shared" ref="P43" si="50">IF(P42&gt;0,P$15/P42,"N/A")</f>
        <v>1150.2300816045531</v>
      </c>
      <c r="Q43" s="50">
        <f>IF(Q42&gt;0,Q$15/Q42,"N/A")</f>
        <v>1398.5081937727107</v>
      </c>
    </row>
    <row r="44" spans="1:17" ht="15.75" thickBot="1" x14ac:dyDescent="0.3">
      <c r="A44" s="87"/>
      <c r="B44" s="54" t="s">
        <v>17</v>
      </c>
      <c r="C44" s="13">
        <f t="shared" ref="C44:Q44" si="51">C42*365/C$15</f>
        <v>0.22850176046544304</v>
      </c>
      <c r="D44" s="14">
        <f t="shared" si="51"/>
        <v>0.24665928219302705</v>
      </c>
      <c r="E44" s="14">
        <f>E42*365/E$15</f>
        <v>0.16796978908232382</v>
      </c>
      <c r="F44" s="14">
        <f>F42*365/F$15</f>
        <v>0.27372526046544304</v>
      </c>
      <c r="G44" s="14">
        <f t="shared" si="51"/>
        <v>0.22576373337235442</v>
      </c>
      <c r="H44" s="14">
        <f t="shared" si="51"/>
        <v>0.25941865009820986</v>
      </c>
      <c r="I44" s="14">
        <f t="shared" si="51"/>
        <v>0.2517318692095899</v>
      </c>
      <c r="J44" s="14">
        <f t="shared" si="51"/>
        <v>0.23902160400028102</v>
      </c>
      <c r="K44" s="14">
        <f t="shared" si="51"/>
        <v>0.25439759400028106</v>
      </c>
      <c r="L44" s="14">
        <f t="shared" si="51"/>
        <v>0.21890422183283401</v>
      </c>
      <c r="M44" s="14">
        <f t="shared" si="51"/>
        <v>0.23058040032590385</v>
      </c>
      <c r="N44" s="14">
        <f t="shared" si="51"/>
        <v>0.32236039180265513</v>
      </c>
      <c r="O44" s="14">
        <f t="shared" si="51"/>
        <v>0.29794134236595743</v>
      </c>
      <c r="P44" s="14">
        <f t="shared" si="51"/>
        <v>0.3173278162668382</v>
      </c>
      <c r="Q44" s="15">
        <f t="shared" si="51"/>
        <v>0.2609923929121582</v>
      </c>
    </row>
    <row r="45" spans="1:17" ht="74.25" customHeight="1" thickBot="1" x14ac:dyDescent="0.3">
      <c r="A45" s="88"/>
      <c r="B45" s="89" t="s">
        <v>39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1"/>
    </row>
  </sheetData>
  <mergeCells count="25">
    <mergeCell ref="P6:P7"/>
    <mergeCell ref="N4:Q4"/>
    <mergeCell ref="C4:D4"/>
    <mergeCell ref="A4:B4"/>
    <mergeCell ref="J7:K7"/>
    <mergeCell ref="F6:G6"/>
    <mergeCell ref="J6:K6"/>
    <mergeCell ref="F7:G7"/>
    <mergeCell ref="N6:O7"/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66</v>
      </c>
      <c r="B1" s="83" t="s">
        <v>65</v>
      </c>
      <c r="C1" s="85"/>
      <c r="D1" s="83" t="s">
        <v>64</v>
      </c>
      <c r="E1" s="84"/>
      <c r="F1" s="84"/>
      <c r="G1" s="114" t="s">
        <v>63</v>
      </c>
      <c r="H1" s="115"/>
      <c r="I1" s="79" t="s">
        <v>69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62</v>
      </c>
      <c r="D3" s="69" t="s">
        <v>61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67</v>
      </c>
      <c r="B1" s="118" t="s">
        <v>65</v>
      </c>
      <c r="C1" s="119"/>
      <c r="D1" s="118" t="s">
        <v>64</v>
      </c>
      <c r="E1" s="119"/>
      <c r="F1" s="116" t="s">
        <v>63</v>
      </c>
      <c r="G1" s="117"/>
    </row>
    <row r="2" spans="1:10" ht="6" customHeight="1" x14ac:dyDescent="0.25"/>
    <row r="3" spans="1:10" x14ac:dyDescent="0.2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I3" t="s">
        <v>31</v>
      </c>
      <c r="J3" t="s">
        <v>22</v>
      </c>
    </row>
    <row r="4" spans="1:10" x14ac:dyDescent="0.25">
      <c r="A4" t="s">
        <v>27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28</v>
      </c>
      <c r="I4" s="2">
        <f>MAX(C880:C1334)</f>
        <v>1405.21</v>
      </c>
      <c r="J4" s="5">
        <v>43109</v>
      </c>
    </row>
    <row r="5" spans="1:10" x14ac:dyDescent="0.25">
      <c r="A5" t="s">
        <v>27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29</v>
      </c>
      <c r="I5" s="2">
        <f>MIN(C880:C1334)</f>
        <v>83.149241079000006</v>
      </c>
      <c r="J5" s="5">
        <v>43449</v>
      </c>
    </row>
    <row r="6" spans="1:10" x14ac:dyDescent="0.25">
      <c r="A6" t="s">
        <v>27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27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30</v>
      </c>
      <c r="J7" t="s">
        <v>32</v>
      </c>
    </row>
    <row r="8" spans="1:10" x14ac:dyDescent="0.25">
      <c r="A8" t="s">
        <v>27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27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27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27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27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27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27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27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27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27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27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27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27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27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27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27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27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27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27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27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27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27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27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27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27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27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27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27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27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27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27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27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27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27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27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27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27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27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27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27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27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27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27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27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27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27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27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27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27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27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27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27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27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27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27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27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27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27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27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27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27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27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27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27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27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27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27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27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27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27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27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27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27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27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27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27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27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27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27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27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27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27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27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27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27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27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27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27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27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27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27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27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27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27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27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27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27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27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27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27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27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27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27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27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27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27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27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27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27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27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27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27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27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27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27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27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27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27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27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27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27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27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27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27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27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27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27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27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27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27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27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27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27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27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27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27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27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27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27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27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27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27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27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27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27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27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27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27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27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27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27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27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27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27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27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27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27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27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27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27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27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27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27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27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27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27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27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27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27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27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27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27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27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27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27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27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27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27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27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27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27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27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27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27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27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27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27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27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27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27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27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27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27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27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27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27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27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27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27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27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27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27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27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27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27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27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27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27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27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27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27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27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27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27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27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27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27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27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27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27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27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27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27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27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27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27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27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27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27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27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27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27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27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27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27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27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27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27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27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27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27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27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27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27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27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27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27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27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27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27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27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27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27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27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27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27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27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27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27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27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27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27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27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27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27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27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27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27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27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27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27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27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27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27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27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27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27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27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27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27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27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27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27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27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27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27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27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27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27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27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27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27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27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27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27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27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27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27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27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27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27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27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27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27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27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27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27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27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27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27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27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27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27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27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27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27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27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27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27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27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27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27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27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27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27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27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27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27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27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27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27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27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27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27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27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27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27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27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27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27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27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27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27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27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27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27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27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27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27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27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27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27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27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27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27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27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27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27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27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27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27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27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27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27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27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27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27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27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27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27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27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27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27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27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27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27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27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27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27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27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27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27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27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27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27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27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27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27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27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27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27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27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27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27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27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27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27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27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27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27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27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27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27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27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27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27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27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27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27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27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27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27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27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27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27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27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27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27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27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27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27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27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27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27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27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27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27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27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27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27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27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27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27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27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27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27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27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27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27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27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27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27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27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27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27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27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27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27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27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27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27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27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27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27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27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27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27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27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27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27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27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27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27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27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27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27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27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27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27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27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27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27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27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27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27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27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27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27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27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27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27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27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27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27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27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27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27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27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27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27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27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27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27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27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27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27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27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27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27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27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27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27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27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27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27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27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27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27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27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27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27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27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27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27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27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27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27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27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27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27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27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27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27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27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27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27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27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27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27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27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27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27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27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27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27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27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27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27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27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27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27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27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27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27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27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27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27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27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27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27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27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27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27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27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27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27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27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27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27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27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27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27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27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27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27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27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27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27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27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27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27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27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27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27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27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27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27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27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27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27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27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27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27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27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27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27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27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27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27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27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27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27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27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27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27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27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27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27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27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27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27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27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27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27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27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27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27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27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27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27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27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27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27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27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27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27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27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27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27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27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27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27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27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27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27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27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27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27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27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27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27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27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27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27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27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27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27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27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27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27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27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27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27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27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27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27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27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27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27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27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27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27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27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27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27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27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27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27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27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27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27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27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27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27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27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27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27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27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27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27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27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27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27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27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27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27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27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27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27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27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27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27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27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27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27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27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27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27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27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27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27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27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27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27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27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27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27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27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27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27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27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27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27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27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27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27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27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27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27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27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27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27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27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27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27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27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27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27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27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27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27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27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27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27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27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27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27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27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27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27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27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27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27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27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27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27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27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27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27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27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27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27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27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27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27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27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27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27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27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27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27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27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27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27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27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27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27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27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27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27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27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27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27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27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27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27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27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27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27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27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27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27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27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27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27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27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27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27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27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27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27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27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27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27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27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27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27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27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27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27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27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27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27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27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27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27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27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27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27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27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27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27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27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27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27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27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27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27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27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27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27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27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27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27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27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27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27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27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27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27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27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27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27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27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27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27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27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27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27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27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27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27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27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27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27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27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27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27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27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27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27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27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27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27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27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27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27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27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27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27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27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27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27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27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27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27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27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27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27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27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27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27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27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27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27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27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27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27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27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27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27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27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27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27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27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27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27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27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27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27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27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27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27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27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27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27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27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27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27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27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27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27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27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27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27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27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27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27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27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27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27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27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27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27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27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27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27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27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27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27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27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27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27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27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27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27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27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27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27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27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27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27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27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27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27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27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27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27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27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27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27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27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27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27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27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27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27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27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27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27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27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27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27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27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27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27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27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27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27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27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27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27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27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27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27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27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27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27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27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27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27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27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27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27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27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27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27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27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27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27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27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27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27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27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27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27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27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27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27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27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27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27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27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27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27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27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27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27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27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27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27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27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27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27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27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27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27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27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27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27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27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27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27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27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27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27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27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27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27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27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27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27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27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27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27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27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27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27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27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27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27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27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27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27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27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27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27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27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27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27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27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27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27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27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27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27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27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27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27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27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27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27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27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27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27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27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27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27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27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27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27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27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27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27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27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27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27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27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27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27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27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27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27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27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27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27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27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27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27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27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27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27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27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27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27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27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27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27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27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27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27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27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27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27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27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27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27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27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27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27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27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27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27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27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27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27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27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27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27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27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27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27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27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27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27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27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27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27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27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27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27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27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27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27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27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27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27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27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27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27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27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27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27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27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27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27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27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27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27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27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27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27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27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27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27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27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27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27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27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27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27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27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27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27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27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27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27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27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27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27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27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27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27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27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27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27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27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27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27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27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27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27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27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27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27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27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27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27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27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27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27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27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27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27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27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27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27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27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27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27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27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27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27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27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27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27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27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27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27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27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27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27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27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27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27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27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27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27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27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27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27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27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27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27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27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27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27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27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27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27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27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27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27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27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27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27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27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27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27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27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27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27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27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27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27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27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27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27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27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27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27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27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27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27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27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27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27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27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27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27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27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27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27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27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27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27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27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27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27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27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27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27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27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27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27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27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27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27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27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27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27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27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27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27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27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27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27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27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27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27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27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27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27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27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27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27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27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27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27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27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27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27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27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27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27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27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27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27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27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27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27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27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27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27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27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27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27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27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27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27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27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27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27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27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27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27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27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27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27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27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27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27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27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27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27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27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27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27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27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27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27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27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27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27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27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27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27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27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27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27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27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27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27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27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27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27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27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27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27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27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27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27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27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27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27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27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27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27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27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27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27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27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27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27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27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27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27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27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27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27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27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27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27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27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27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27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27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27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27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27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27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27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27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27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27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27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27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27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27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27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27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27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27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27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27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27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27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27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27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27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27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27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27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27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27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27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27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27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27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27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27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27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27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27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27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27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27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27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27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27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27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27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27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27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27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27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27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27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27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27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27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27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27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27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27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27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27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27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27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27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27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27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27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27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27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27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27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27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27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27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27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27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27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27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27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27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27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27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27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27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27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27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27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27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27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27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27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27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27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27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27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27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27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27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27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27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27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27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27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27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27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27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27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27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27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27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27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27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27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27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27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27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27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27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27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27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27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27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27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27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27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27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27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27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27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27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27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27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27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27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27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27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27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27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27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27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27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27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27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27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27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27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27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27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27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27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27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27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27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27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27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27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27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27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27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27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27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27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27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27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27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27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27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27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27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27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27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27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27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27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27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27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27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27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27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27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27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27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27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27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27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27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27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27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27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27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27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27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27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27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27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27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27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27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27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27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27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27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27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27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27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27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27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27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27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27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27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27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27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27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27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27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27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27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27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27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27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27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27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27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27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27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27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27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27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27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27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27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27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27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27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27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27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27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27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27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27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27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27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27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27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27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27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27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27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27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27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27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27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27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27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27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27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27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27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27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27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27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27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27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27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27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27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27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27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27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27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27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27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27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27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27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27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27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27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27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27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27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27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27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27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27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27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27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27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27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27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27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27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27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27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27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27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27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27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27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27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27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27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27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27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27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27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27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27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27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27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27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27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27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27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27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27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27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27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27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27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27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27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27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27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27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27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27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27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27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27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27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27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27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27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27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27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27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27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27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27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27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27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27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27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27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27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27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27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27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27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27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27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27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27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27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27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27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27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27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27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27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27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27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27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27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27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27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27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27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27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27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27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27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27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27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27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27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27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27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27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27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27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27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27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27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27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27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27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27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27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27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27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27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27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27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27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27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27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27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27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27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27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27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27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27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27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27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27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27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27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27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27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27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27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27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27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27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27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27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27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27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27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27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27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27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27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27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27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27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27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27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27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27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27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27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27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27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27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27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27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27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27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27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27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27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27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27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27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27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27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27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27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27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27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27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27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27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27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27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27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27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27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27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27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27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27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27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27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27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27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27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27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27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27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27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27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27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27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27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27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27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27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27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27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27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27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27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27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27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27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27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27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27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27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27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27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27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27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27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27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27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27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27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27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27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27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27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27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27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27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27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27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27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27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27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27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27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27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27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27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27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27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27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27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27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27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27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27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27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27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27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27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27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27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27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27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27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27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27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27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27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27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27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27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27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27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27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27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27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27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27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27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27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27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27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27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27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27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27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27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27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27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27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27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27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27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27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27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27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27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27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27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27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27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27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27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27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27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27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27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27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27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27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27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27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27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27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27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27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27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27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27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27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27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27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27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27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27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27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27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27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27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27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27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27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27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27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27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27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27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27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27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27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27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27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27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27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27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27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27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27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27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27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27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27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27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27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27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27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27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27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27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27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27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27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27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27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27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27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27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27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27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27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27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27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27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27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27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27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27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27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27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27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27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27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27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27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27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27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27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27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27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27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27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27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27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27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27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27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27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27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27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27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27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27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27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27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27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27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27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27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27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27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27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27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27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27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27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27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27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27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27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27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27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27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27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27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27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27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27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27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27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27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27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27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27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27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27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27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27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27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27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27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27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27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27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27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27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27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27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27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27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2021-06-21T03:58:27Z</cp:lastPrinted>
  <dcterms:created xsi:type="dcterms:W3CDTF">2021-03-17T05:33:13Z</dcterms:created>
  <dcterms:modified xsi:type="dcterms:W3CDTF">2021-06-21T04:26:44Z</dcterms:modified>
</cp:coreProperties>
</file>